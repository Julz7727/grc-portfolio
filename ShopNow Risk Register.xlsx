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9228" yWindow="-108" windowWidth="23256" windowHeight="13176" tabRatio="500" firstSheet="0" activeTab="2" autoFilterDateGrouping="1"/>
  </bookViews>
  <sheets>
    <sheet xmlns:r="http://schemas.openxmlformats.org/officeDocument/2006/relationships" name="Guide &amp; Notes" sheetId="1" state="visible" r:id="rId1"/>
    <sheet xmlns:r="http://schemas.openxmlformats.org/officeDocument/2006/relationships" name="Risk Matrix" sheetId="2" state="visible" r:id="rId2"/>
    <sheet xmlns:r="http://schemas.openxmlformats.org/officeDocument/2006/relationships" name="Register Summary" sheetId="3" state="visible" r:id="rId3"/>
    <sheet xmlns:r="http://schemas.openxmlformats.org/officeDocument/2006/relationships" name="Risk Register" sheetId="4" state="visible" r:id="rId4"/>
  </sheets>
  <definedNames/>
  <calcPr calcId="191029" fullCalcOnLoad="1" iterateDelta="0.0001"/>
</workbook>
</file>

<file path=xl/styles.xml><?xml version="1.0" encoding="utf-8"?>
<styleSheet xmlns="http://schemas.openxmlformats.org/spreadsheetml/2006/main">
  <numFmts count="2">
    <numFmt numFmtId="164" formatCode="yyyy\-mm\-dd"/>
    <numFmt numFmtId="165" formatCode="yyyy-mm-dd h:mm:ss"/>
  </numFmts>
  <fonts count="21">
    <font>
      <name val="Calibri"/>
      <charset val="1"/>
      <family val="2"/>
      <color theme="1"/>
      <sz val="11"/>
    </font>
    <font>
      <name val="Calibri"/>
      <charset val="1"/>
      <b val="1"/>
      <color rgb="FFFFFFFF"/>
      <sz val="18"/>
    </font>
    <font>
      <name val="Calibri"/>
      <charset val="1"/>
      <i val="1"/>
      <color rgb="FFFFFFFF"/>
      <sz val="11"/>
    </font>
    <font>
      <name val="Calibri"/>
      <charset val="1"/>
      <b val="1"/>
      <color rgb="FFFFFFFF"/>
      <sz val="12"/>
    </font>
    <font>
      <name val="Calibri"/>
      <charset val="1"/>
      <b val="1"/>
      <color rgb="FF1F3864"/>
      <sz val="10"/>
    </font>
    <font>
      <name val="Calibri"/>
      <charset val="1"/>
      <color rgb="FF1F2937"/>
      <sz val="10"/>
    </font>
    <font>
      <name val="Calibri"/>
      <charset val="1"/>
      <sz val="10"/>
    </font>
    <font>
      <name val="Calibri"/>
      <charset val="1"/>
      <b val="1"/>
      <color rgb="FF1F3864"/>
      <sz val="16"/>
    </font>
    <font>
      <name val="Calibri"/>
      <charset val="1"/>
      <i val="1"/>
      <color rgb="FF595959"/>
      <sz val="10"/>
    </font>
    <font>
      <name val="Cambria"/>
      <charset val="1"/>
      <b val="1"/>
      <color rgb="FF595959"/>
      <sz val="9"/>
    </font>
    <font>
      <name val="Cambria"/>
      <charset val="1"/>
      <b val="1"/>
      <color rgb="FFFFFFFF"/>
      <sz val="11"/>
    </font>
    <font>
      <name val="Cambria"/>
      <charset val="1"/>
      <b val="1"/>
      <color rgb="FFFFFFFF"/>
      <sz val="10"/>
    </font>
    <font>
      <name val="Cambria"/>
      <charset val="1"/>
      <color rgb="FF595959"/>
      <sz val="9"/>
    </font>
    <font>
      <name val="Cambria"/>
      <charset val="1"/>
      <b val="1"/>
      <color rgb="FF1F3864"/>
      <sz val="14"/>
    </font>
    <font>
      <name val="Cambria"/>
      <charset val="1"/>
      <b val="1"/>
      <color rgb="FF1F3864"/>
      <sz val="11"/>
    </font>
    <font>
      <name val="Cambria"/>
      <charset val="1"/>
      <sz val="10"/>
    </font>
    <font>
      <name val="Calibri"/>
      <charset val="1"/>
      <b val="1"/>
      <color rgb="FFFFFFFF"/>
      <sz val="11"/>
    </font>
    <font>
      <name val="Calibri"/>
      <charset val="1"/>
      <b val="1"/>
      <color rgb="FFFFFFFF"/>
      <sz val="10"/>
    </font>
    <font>
      <b val="1"/>
      <sz val="14"/>
    </font>
    <font>
      <b val="1"/>
      <sz val="11"/>
    </font>
    <font>
      <b val="1"/>
    </font>
  </fonts>
  <fills count="9">
    <fill>
      <patternFill/>
    </fill>
    <fill>
      <patternFill patternType="gray125"/>
    </fill>
    <fill>
      <patternFill patternType="solid">
        <fgColor rgb="FF1F3864"/>
        <bgColor rgb="FF1F2937"/>
      </patternFill>
    </fill>
    <fill>
      <patternFill patternType="solid">
        <fgColor rgb="FF0F1F3D"/>
        <bgColor rgb="FF1F2937"/>
      </patternFill>
    </fill>
    <fill>
      <patternFill patternType="solid">
        <fgColor rgb="FFD9E1F2"/>
        <bgColor rgb="FFC6EFCE"/>
      </patternFill>
    </fill>
    <fill>
      <patternFill patternType="solid">
        <fgColor rgb="FFC6EFCE"/>
        <bgColor rgb="FFD9E1F2"/>
      </patternFill>
    </fill>
    <fill>
      <patternFill patternType="solid">
        <fgColor rgb="FFFFEB9C"/>
        <bgColor rgb="FFFFFFCC"/>
      </patternFill>
    </fill>
    <fill>
      <patternFill patternType="solid">
        <fgColor rgb="FFF8CBAD"/>
        <bgColor rgb="FFFFEB9C"/>
      </patternFill>
    </fill>
    <fill>
      <patternFill patternType="solid">
        <fgColor rgb="FFF8696B"/>
        <bgColor rgb="FFFF6600"/>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44">
    <xf numFmtId="0" fontId="0" fillId="0" borderId="0" pivotButton="0" quotePrefix="0" xfId="0"/>
    <xf numFmtId="0" fontId="16" fillId="3" borderId="0" applyAlignment="1" pivotButton="0" quotePrefix="0" xfId="0">
      <alignment horizontal="center" vertical="center"/>
    </xf>
    <xf numFmtId="0" fontId="16" fillId="2" borderId="0" applyAlignment="1" pivotButton="0" quotePrefix="0" xfId="0">
      <alignment horizontal="center" vertical="center"/>
    </xf>
    <xf numFmtId="0" fontId="15" fillId="0" borderId="1" applyAlignment="1" pivotButton="0" quotePrefix="0" xfId="0">
      <alignment horizontal="left" vertical="center" wrapText="1" indent="1"/>
    </xf>
    <xf numFmtId="0" fontId="14" fillId="0" borderId="0" pivotButton="0" quotePrefix="0" xfId="0"/>
    <xf numFmtId="0" fontId="8" fillId="0" borderId="0" pivotButton="0" quotePrefix="0" xfId="0"/>
    <xf numFmtId="0" fontId="7" fillId="0" borderId="0" pivotButton="0" quotePrefix="0" xfId="0"/>
    <xf numFmtId="0" fontId="6" fillId="0" borderId="1" applyAlignment="1" pivotButton="0" quotePrefix="0" xfId="0">
      <alignment horizontal="left" vertical="top" wrapText="1" indent="1"/>
    </xf>
    <xf numFmtId="0" fontId="5" fillId="0" borderId="1" applyAlignment="1" pivotButton="0" quotePrefix="0" xfId="0">
      <alignment horizontal="left" vertical="top" wrapText="1" indent="1"/>
    </xf>
    <xf numFmtId="0" fontId="3" fillId="2" borderId="0" applyAlignment="1" pivotButton="0" quotePrefix="0" xfId="0">
      <alignment horizontal="left" vertical="center" indent="1"/>
    </xf>
    <xf numFmtId="0" fontId="2" fillId="3" borderId="0" applyAlignment="1" pivotButton="0" quotePrefix="0" xfId="0">
      <alignment horizontal="left" vertical="center" indent="1"/>
    </xf>
    <xf numFmtId="0" fontId="1" fillId="2" borderId="0" applyAlignment="1" pivotButton="0" quotePrefix="0" xfId="0">
      <alignment horizontal="left" vertical="center" indent="1"/>
    </xf>
    <xf numFmtId="0" fontId="4" fillId="4" borderId="1" applyAlignment="1" pivotButton="0" quotePrefix="0" xfId="0">
      <alignment horizontal="left" vertical="top" wrapText="1" indent="1"/>
    </xf>
    <xf numFmtId="0" fontId="4" fillId="5" borderId="1" applyAlignment="1" pivotButton="0" quotePrefix="0" xfId="0">
      <alignment horizontal="left" vertical="top" indent="1"/>
    </xf>
    <xf numFmtId="0" fontId="4" fillId="6" borderId="1" applyAlignment="1" pivotButton="0" quotePrefix="0" xfId="0">
      <alignment horizontal="left" vertical="top" indent="1"/>
    </xf>
    <xf numFmtId="0" fontId="4" fillId="7" borderId="1" applyAlignment="1" pivotButton="0" quotePrefix="0" xfId="0">
      <alignment horizontal="left" vertical="top" indent="1"/>
    </xf>
    <xf numFmtId="0" fontId="4" fillId="8" borderId="1" applyAlignment="1" pivotButton="0" quotePrefix="0" xfId="0">
      <alignment horizontal="left" vertical="top" indent="1"/>
    </xf>
    <xf numFmtId="0" fontId="9" fillId="0" borderId="0" applyAlignment="1" pivotButton="0" quotePrefix="0" xfId="0">
      <alignment horizontal="center"/>
    </xf>
    <xf numFmtId="0" fontId="10"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2" fillId="0" borderId="0" applyAlignment="1" pivotButton="0" quotePrefix="0" xfId="0">
      <alignment horizontal="center"/>
    </xf>
    <xf numFmtId="0" fontId="11" fillId="2" borderId="1" applyAlignment="1" pivotButton="0" quotePrefix="0" xfId="0">
      <alignment horizontal="center" vertical="center"/>
    </xf>
    <xf numFmtId="0" fontId="13" fillId="6" borderId="1" applyAlignment="1" pivotButton="0" quotePrefix="0" xfId="0">
      <alignment horizontal="center" vertical="center"/>
    </xf>
    <xf numFmtId="0" fontId="13" fillId="7" borderId="1" applyAlignment="1" pivotButton="0" quotePrefix="0" xfId="0">
      <alignment horizontal="center" vertical="center"/>
    </xf>
    <xf numFmtId="0" fontId="13" fillId="8" borderId="1" applyAlignment="1" pivotButton="0" quotePrefix="0" xfId="0">
      <alignment horizontal="center" vertical="center"/>
    </xf>
    <xf numFmtId="0" fontId="13" fillId="5" borderId="1" applyAlignment="1" pivotButton="0" quotePrefix="0" xfId="0">
      <alignment horizontal="center" vertical="center"/>
    </xf>
    <xf numFmtId="0" fontId="14" fillId="5" borderId="1" applyAlignment="1" pivotButton="0" quotePrefix="0" xfId="0">
      <alignment horizontal="center" vertical="center"/>
    </xf>
    <xf numFmtId="0" fontId="15" fillId="0" borderId="1" applyAlignment="1" pivotButton="0" quotePrefix="0" xfId="0">
      <alignment horizontal="left" vertical="center" wrapText="1" indent="1"/>
    </xf>
    <xf numFmtId="0" fontId="14" fillId="6" borderId="1" applyAlignment="1" pivotButton="0" quotePrefix="0" xfId="0">
      <alignment horizontal="center" vertical="center"/>
    </xf>
    <xf numFmtId="0" fontId="14" fillId="7" borderId="1" applyAlignment="1" pivotButton="0" quotePrefix="0" xfId="0">
      <alignment horizontal="center" vertical="center"/>
    </xf>
    <xf numFmtId="0" fontId="14" fillId="8" borderId="1" applyAlignment="1" pivotButton="0" quotePrefix="0" xfId="0">
      <alignment horizontal="center" vertical="center"/>
    </xf>
    <xf numFmtId="0" fontId="15" fillId="0" borderId="1" applyAlignment="1" pivotButton="0" quotePrefix="0" xfId="0">
      <alignment horizontal="center" vertical="center" wrapText="1" indent="1"/>
    </xf>
    <xf numFmtId="0" fontId="16" fillId="3" borderId="0" applyAlignment="1" pivotButton="0" quotePrefix="0" xfId="0">
      <alignment horizontal="center" vertical="center"/>
    </xf>
    <xf numFmtId="0" fontId="17"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164" fontId="6" fillId="0" borderId="1" applyAlignment="1" pivotButton="0" quotePrefix="0" xfId="0">
      <alignment horizontal="center" vertical="center"/>
    </xf>
    <xf numFmtId="0" fontId="0" fillId="0" borderId="4" pivotButton="0" quotePrefix="0" xfId="0"/>
    <xf numFmtId="0" fontId="20" fillId="0" borderId="0" pivotButton="0" quotePrefix="0" xfId="0"/>
    <xf numFmtId="0" fontId="0" fillId="0" borderId="0" applyAlignment="1" pivotButton="0" quotePrefix="0" xfId="0">
      <alignment vertical="top" wrapText="1"/>
    </xf>
    <xf numFmtId="0" fontId="0" fillId="0" borderId="5" pivotButton="0" quotePrefix="0" xfId="0"/>
    <xf numFmtId="0" fontId="18" fillId="0" borderId="0" pivotButton="0" quotePrefix="0" xfId="0"/>
    <xf numFmtId="0" fontId="19" fillId="0" borderId="0" pivotButton="0" quotePrefix="0" xfId="0"/>
  </cellXfs>
  <cellStyles count="1">
    <cellStyle name="Normal" xfId="0" builtinId="0"/>
  </cellStyles>
  <dxfs count="11">
    <dxf>
      <fill>
        <patternFill>
          <bgColor rgb="FFF8696B"/>
        </patternFill>
      </fill>
    </dxf>
    <dxf>
      <fill>
        <patternFill>
          <bgColor rgb="FFF8CBAD"/>
        </patternFill>
      </fill>
    </dxf>
    <dxf>
      <fill>
        <patternFill>
          <bgColor rgb="FFFFEB9C"/>
        </patternFill>
      </fill>
    </dxf>
    <dxf>
      <fill>
        <patternFill>
          <bgColor rgb="FFC6EFCE"/>
        </patternFill>
      </fill>
    </dxf>
    <dxf>
      <fill>
        <patternFill>
          <bgColor rgb="FFC6EFCE"/>
        </patternFill>
      </fill>
    </dxf>
    <dxf>
      <fill>
        <patternFill>
          <bgColor rgb="FFFFEB9C"/>
        </patternFill>
      </fill>
    </dxf>
    <dxf>
      <fill>
        <patternFill>
          <bgColor rgb="FFF8CBAD"/>
        </patternFill>
      </fill>
    </dxf>
    <dxf>
      <fill>
        <patternFill>
          <bgColor rgb="FFF8696B"/>
        </patternFill>
      </fill>
    </dxf>
    <dxf>
      <fill>
        <patternFill>
          <bgColor rgb="FFF8CBAD"/>
        </patternFill>
      </fill>
    </dxf>
    <dxf>
      <fill>
        <patternFill>
          <bgColor rgb="FFFFEB9C"/>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8696B"/>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F1F3D"/>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3"/>
  <sheetViews>
    <sheetView showGridLines="0" zoomScaleNormal="100" workbookViewId="0">
      <selection activeCell="A1" sqref="A1:C1"/>
    </sheetView>
  </sheetViews>
  <sheetFormatPr baseColWidth="8" defaultColWidth="8.7109375" defaultRowHeight="15"/>
  <cols>
    <col width="32" customWidth="1" min="1" max="1"/>
    <col width="70" customWidth="1" min="2" max="2"/>
    <col width="25" customWidth="1" min="3" max="3"/>
  </cols>
  <sheetData>
    <row r="1" ht="31.5" customHeight="1">
      <c r="A1" s="11" t="inlineStr">
        <is>
          <t>ShopNow Risk Register — User Guide &amp; Notes</t>
        </is>
      </c>
    </row>
    <row r="2" ht="21.75" customHeight="1">
      <c r="A2" s="10" t="inlineStr">
        <is>
          <t>ISO/IEC 27001:2022 aligned · 5x5 Matrix · Row colour auto-updates based on Risk Rating</t>
        </is>
      </c>
    </row>
    <row r="4" ht="21.75" customHeight="1">
      <c r="A4" s="9" t="inlineStr">
        <is>
          <t>1.  Register Structure — Column Buckets</t>
        </is>
      </c>
    </row>
    <row r="5" ht="15" customHeight="1">
      <c r="A5" s="12" t="inlineStr">
        <is>
          <t>Ref</t>
        </is>
      </c>
      <c r="B5" s="8" t="inlineStr">
        <is>
          <t>Column A. Unique risk identifier (e.g. R-001). Increment sequentially; never re-use a retired ID.</t>
        </is>
      </c>
      <c r="C5" s="38" t="n"/>
    </row>
    <row r="6" ht="23.85" customHeight="1">
      <c r="A6" s="12" t="inlineStr">
        <is>
          <t>Risk Identification</t>
        </is>
      </c>
      <c r="B6" s="8" t="inlineStr">
        <is>
          <t>Columns B-H. Captures what the risk is: ISO 27001 domain, affected information asset, the threat that could cause harm, the underlying vulnerability, a one-line risk statement, longer risk description, and existing controls.</t>
        </is>
      </c>
      <c r="C6" s="38" t="n"/>
    </row>
    <row r="7" ht="23.85" customHeight="1">
      <c r="A7" s="12" t="inlineStr">
        <is>
          <t>Risk Assessment</t>
        </is>
      </c>
      <c r="B7" s="8" t="inlineStr">
        <is>
          <t>Columns I-L. Quantifies the risk. Select Likelihood (I) and Impact (J) from dropdowns - Risk Score (K) and Risk Rating (L) auto-calculate. The Risk Rating cell changes colour.</t>
        </is>
      </c>
      <c r="C7" s="38" t="n"/>
    </row>
    <row r="8" ht="23.85" customHeight="1">
      <c r="A8" s="12" t="inlineStr">
        <is>
          <t>Risk Treatment</t>
        </is>
      </c>
      <c r="B8" s="8" t="inlineStr">
        <is>
          <t>Columns M-S. Records what will be done. Select a treatment option, document specific controls, assign an owner, set a target date, and track status. Treatment Action and Review Date complete the trail.</t>
        </is>
      </c>
      <c r="C8" s="38" t="n"/>
    </row>
    <row r="9" ht="23.85" customHeight="1">
      <c r="A9" s="12" t="inlineStr">
        <is>
          <t>Residual Risk</t>
        </is>
      </c>
      <c r="B9" s="8" t="inlineStr">
        <is>
          <t>Columns T-W. After treatment controls are applied, record the residual Likelihood (T) and Impact (U). Columns V and W auto-calculate the residual score and rating with colour.</t>
        </is>
      </c>
      <c r="C9" s="38" t="n"/>
    </row>
    <row r="10" ht="15" customHeight="1">
      <c r="A10" s="12" t="inlineStr">
        <is>
          <t>Notes</t>
        </is>
      </c>
      <c r="B10" s="8" t="inlineStr">
        <is>
          <t>Columns X-Y. Next Review Date and free-text for cross-references, decisions, evidence links, or audit-trail notes.</t>
        </is>
      </c>
      <c r="C10" s="38" t="n"/>
    </row>
    <row r="12" ht="21.75" customHeight="1">
      <c r="A12" s="9" t="inlineStr">
        <is>
          <t>2.  How to Use the Register</t>
        </is>
      </c>
    </row>
    <row r="13" ht="15" customHeight="1">
      <c r="A13" s="12" t="inlineStr">
        <is>
          <t>Step 1</t>
        </is>
      </c>
      <c r="B13" s="8" t="inlineStr">
        <is>
          <t>Enter a unique Risk ID in column A and fill columns B-H with asset, threat, vulnerability, and existing controls.</t>
        </is>
      </c>
      <c r="C13" s="38" t="n"/>
    </row>
    <row r="14" ht="15" customHeight="1">
      <c r="A14" s="12" t="inlineStr">
        <is>
          <t>Step 2</t>
        </is>
      </c>
      <c r="B14" s="8" t="inlineStr">
        <is>
          <t>Select Likelihood (I) and Impact (J) from the dropdown menus. Score and Rating calculate instantly.</t>
        </is>
      </c>
      <c r="C14" s="38" t="n"/>
    </row>
    <row r="15" ht="15" customHeight="1">
      <c r="A15" s="12" t="inlineStr">
        <is>
          <t>Step 3</t>
        </is>
      </c>
      <c r="B15" s="8" t="inlineStr">
        <is>
          <t>The Risk Rating cell turns green (L), yellow (M), orange (H), or red (VH) automatically.</t>
        </is>
      </c>
      <c r="C15" s="38" t="n"/>
    </row>
    <row r="16" ht="15" customHeight="1">
      <c r="A16" s="12" t="inlineStr">
        <is>
          <t>Step 4</t>
        </is>
      </c>
      <c r="B16" s="8" t="inlineStr">
        <is>
          <t>Choose a Treatment Option (M) and document the plan in column N. Assign a Risk Owner (O) and Target Date (P).</t>
        </is>
      </c>
      <c r="C16" s="38" t="n"/>
    </row>
    <row r="17" ht="15" customHeight="1">
      <c r="A17" s="12" t="inlineStr">
        <is>
          <t>Step 5</t>
        </is>
      </c>
      <c r="B17" s="8" t="inlineStr">
        <is>
          <t>Update Status (Q) as work progresses: Open -&gt; In Progress -&gt; Closed.</t>
        </is>
      </c>
      <c r="C17" s="38" t="n"/>
    </row>
    <row r="18" ht="15" customHeight="1">
      <c r="A18" s="12" t="inlineStr">
        <is>
          <t>Step 6</t>
        </is>
      </c>
      <c r="B18" s="8" t="inlineStr">
        <is>
          <t>Once controls are implemented, select Residual Likelihood (T) and Residual Impact (U) to see the residual risk.</t>
        </is>
      </c>
      <c r="C18" s="38" t="n"/>
    </row>
    <row r="19" ht="15" customHeight="1">
      <c r="A19" s="12" t="inlineStr">
        <is>
          <t>Important</t>
        </is>
      </c>
      <c r="B19" s="8" t="inlineStr">
        <is>
          <t>Do NOT manually edit columns K, L, V, or W - these contain formulas. Overwriting will break calculations.</t>
        </is>
      </c>
      <c r="C19" s="38" t="n"/>
    </row>
    <row r="21" ht="21.75" customHeight="1">
      <c r="A21" s="9" t="inlineStr">
        <is>
          <t>3.  Likelihood Scale</t>
        </is>
      </c>
    </row>
    <row r="22" ht="15" customHeight="1">
      <c r="A22" s="12" t="inlineStr">
        <is>
          <t>1 — Rare</t>
        </is>
      </c>
      <c r="B22" s="8" t="inlineStr">
        <is>
          <t>Very unlikely; less than once every 10 years. e.g. major natural disaster affecting geographically diverse operations.</t>
        </is>
      </c>
      <c r="C22" s="38" t="n"/>
    </row>
    <row r="23" ht="15" customHeight="1">
      <c r="A23" s="12" t="inlineStr">
        <is>
          <t>2 — Unlikely</t>
        </is>
      </c>
      <c r="B23" s="8" t="inlineStr">
        <is>
          <t>Could occur but not expected; once every 5-10 years. e.g. targeted attack on a non-high-profile small business.</t>
        </is>
      </c>
      <c r="C23" s="38" t="n"/>
    </row>
    <row r="24" ht="15" customHeight="1">
      <c r="A24" s="12" t="inlineStr">
        <is>
          <t>3 — Possible</t>
        </is>
      </c>
      <c r="B24" s="8" t="inlineStr">
        <is>
          <t>Might occur at some point; once every 1-5 years. e.g. phishing email bypassing filters.</t>
        </is>
      </c>
      <c r="C24" s="38" t="n"/>
    </row>
    <row r="25" ht="15" customHeight="1">
      <c r="A25" s="12" t="inlineStr">
        <is>
          <t>4 — Likely</t>
        </is>
      </c>
      <c r="B25" s="8" t="inlineStr">
        <is>
          <t>Will probably occur; once per year or more. e.g. credential stuffing on an internet-facing application.</t>
        </is>
      </c>
      <c r="C25" s="38" t="n"/>
    </row>
    <row r="26" ht="15" customHeight="1">
      <c r="A26" s="12" t="inlineStr">
        <is>
          <t>5 — Almost Certain</t>
        </is>
      </c>
      <c r="B26" s="8" t="inlineStr">
        <is>
          <t>Expected to occur frequently; multiple times per year. e.g. automated scanning of unpatched public systems.</t>
        </is>
      </c>
      <c r="C26" s="38" t="n"/>
    </row>
    <row r="28" ht="21.75" customHeight="1">
      <c r="A28" s="9" t="inlineStr">
        <is>
          <t>4.  Impact Scale</t>
        </is>
      </c>
    </row>
    <row r="29" ht="15" customHeight="1">
      <c r="A29" s="12" t="inlineStr">
        <is>
          <t>1 — Minor</t>
        </is>
      </c>
      <c r="B29" s="8" t="inlineStr">
        <is>
          <t>Negligible disruption. Minimal financial loss. No regulatory breach. Resolved internally.</t>
        </is>
      </c>
      <c r="C29" s="38" t="n"/>
    </row>
    <row r="30" ht="15" customHeight="1">
      <c r="A30" s="12" t="inlineStr">
        <is>
          <t>2 — Serious</t>
        </is>
      </c>
      <c r="B30" s="8" t="inlineStr">
        <is>
          <t>Minor disruption. Small financial loss (&lt;1% revenue). Possible regulatory notice. Limited reputational impact.</t>
        </is>
      </c>
      <c r="C30" s="38" t="n"/>
    </row>
    <row r="31" ht="15" customHeight="1">
      <c r="A31" s="12" t="inlineStr">
        <is>
          <t>3 — Severe</t>
        </is>
      </c>
      <c r="B31" s="8" t="inlineStr">
        <is>
          <t>Significant disruption (hours/days). Moderate financial loss. Possible regulatory fine. Noticeable reputational damage.</t>
        </is>
      </c>
      <c r="C31" s="38" t="n"/>
    </row>
    <row r="32" ht="15" customHeight="1">
      <c r="A32" s="12" t="inlineStr">
        <is>
          <t>4 — Major</t>
        </is>
      </c>
      <c r="B32" s="8" t="inlineStr">
        <is>
          <t>Substantial disruption. Large financial loss. Likely regulatory investigation. Significant reputational damage.</t>
        </is>
      </c>
      <c r="C32" s="38" t="n"/>
    </row>
    <row r="33" ht="15" customHeight="1">
      <c r="A33" s="12" t="inlineStr">
        <is>
          <t>5 — Catastrophic</t>
        </is>
      </c>
      <c r="B33" s="8" t="inlineStr">
        <is>
          <t>Existential threat. Critical financial loss. Regulatory prosecution / licence revocation. Permanent reputational damage.</t>
        </is>
      </c>
      <c r="C33" s="38" t="n"/>
    </row>
    <row r="35" ht="21.75" customHeight="1">
      <c r="A35" s="9" t="inlineStr">
        <is>
          <t>5.  Risk Rating &amp; Row Colour Key</t>
        </is>
      </c>
    </row>
    <row r="36" ht="15" customHeight="1">
      <c r="A36" s="13" t="inlineStr">
        <is>
          <t>L — Low  (Green)</t>
        </is>
      </c>
      <c r="B36" s="7" t="inlineStr">
        <is>
          <t>Score 1-4.  Monitor only. Review at next scheduled assessment. No immediate action needed.</t>
        </is>
      </c>
      <c r="C36" s="38" t="n"/>
    </row>
    <row r="37" ht="15" customHeight="1">
      <c r="A37" s="14" t="inlineStr">
        <is>
          <t>M — Medium  (Yellow)</t>
        </is>
      </c>
      <c r="B37" s="7" t="inlineStr">
        <is>
          <t>Score 5-9.  Address within 90 days. Assign owner and document treatment plan. Report to departmental manager.</t>
        </is>
      </c>
      <c r="C37" s="38" t="n"/>
    </row>
    <row r="38" ht="23.85" customHeight="1">
      <c r="A38" s="15" t="inlineStr">
        <is>
          <t>H — High  (Orange)</t>
        </is>
      </c>
      <c r="B38" s="7" t="inlineStr">
        <is>
          <t>Score 10-16. Urgent action required. Escalate to senior management. Treatment plan approved and commenced within 30 days.</t>
        </is>
      </c>
      <c r="C38" s="38" t="n"/>
    </row>
    <row r="39" ht="23.85" customHeight="1">
      <c r="A39" s="16" t="inlineStr">
        <is>
          <t>VH — Very High  (Red)</t>
        </is>
      </c>
      <c r="B39" s="7" t="inlineStr">
        <is>
          <t>Score 20-25. Immediate action. Board/executive escalation mandatory. Treat before resuming normal operations where possible.</t>
        </is>
      </c>
      <c r="C39" s="38" t="n"/>
    </row>
    <row r="41" ht="21.75" customHeight="1">
      <c r="A41" s="9" t="inlineStr">
        <is>
          <t>6.  Treatment Options (ISO 27005)</t>
        </is>
      </c>
    </row>
    <row r="42" ht="15" customHeight="1">
      <c r="A42" s="12" t="inlineStr">
        <is>
          <t>Mitigate</t>
        </is>
      </c>
      <c r="B42" s="8" t="inlineStr">
        <is>
          <t>Implement controls to reduce likelihood and/or impact to an acceptable level. Document specific controls in column N.</t>
        </is>
      </c>
      <c r="C42" s="38" t="n"/>
    </row>
    <row r="43" ht="15" customHeight="1">
      <c r="A43" s="12" t="inlineStr">
        <is>
          <t>Accept</t>
        </is>
      </c>
      <c r="B43" s="8" t="inlineStr">
        <is>
          <t>Formally accept the risk where treatment cost exceeds benefit, or residual risk is within appetite. Requires written sign-off.</t>
        </is>
      </c>
      <c r="C43" s="38" t="n"/>
    </row>
    <row r="44" ht="23.85" customHeight="1">
      <c r="A44" s="12" t="inlineStr">
        <is>
          <t>Transfer</t>
        </is>
      </c>
      <c r="B44" s="8" t="inlineStr">
        <is>
          <t>Transfer financial consequence to a third party (e.g. cyber insurance, payment gateway, supplier contract). Risk itself is not transferred.</t>
        </is>
      </c>
      <c r="C44" s="38" t="n"/>
    </row>
    <row r="45" ht="23.85" customHeight="1">
      <c r="A45" s="12" t="inlineStr">
        <is>
          <t>Avoid</t>
        </is>
      </c>
      <c r="B45" s="8" t="inlineStr">
        <is>
          <t>Eliminate the risk by ceasing the activity that gives rise to it. Use only when risk is unacceptably high and no viable treatment exists.</t>
        </is>
      </c>
      <c r="C45" s="38" t="n"/>
    </row>
    <row r="47" ht="21.75" customHeight="1">
      <c r="A47" s="9" t="inlineStr">
        <is>
          <t>7.  ISO 27001:2022 Domain Quick Reference</t>
        </is>
      </c>
    </row>
    <row r="48" ht="15" customHeight="1">
      <c r="A48" s="12" t="inlineStr">
        <is>
          <t>A.5 — Organisational Controls</t>
        </is>
      </c>
      <c r="B48" s="8" t="inlineStr">
        <is>
          <t>Policies, roles, responsibilities, threat intelligence, supplier relations, information security in project management.</t>
        </is>
      </c>
      <c r="C48" s="38" t="n"/>
    </row>
    <row r="49" ht="15" customHeight="1">
      <c r="A49" s="12" t="inlineStr">
        <is>
          <t>A.6 — People Controls</t>
        </is>
      </c>
      <c r="B49" s="8" t="inlineStr">
        <is>
          <t>Pre-employment screening, terms of employment, security awareness &amp; training, disciplinary process, remote working.</t>
        </is>
      </c>
      <c r="C49" s="38" t="n"/>
    </row>
    <row r="50" ht="15" customHeight="1">
      <c r="A50" s="12" t="inlineStr">
        <is>
          <t>A.7 — Physical Controls</t>
        </is>
      </c>
      <c r="B50" s="8" t="inlineStr">
        <is>
          <t>Physical security perimeters, entry controls, securing offices and facilities, clear desk / clear screen.</t>
        </is>
      </c>
      <c r="C50" s="38" t="n"/>
    </row>
    <row r="51" ht="23.85" customHeight="1">
      <c r="A51" s="12" t="inlineStr">
        <is>
          <t>A.8 — Technological Controls</t>
        </is>
      </c>
      <c r="B51" s="8" t="inlineStr">
        <is>
          <t>Endpoint devices, privileged access, secure authentication, malware protection, backups, logging, vulnerability management, network security, DLP, cryptography.</t>
        </is>
      </c>
      <c r="C51" s="38" t="n"/>
    </row>
    <row r="52" ht="15" customHeight="1">
      <c r="A52" s="12" t="inlineStr">
        <is>
          <t>A.9 — Access Control</t>
        </is>
      </c>
      <c r="B52" s="8" t="inlineStr">
        <is>
          <t>Business requirements for access, user access management, system and application access. (Merged into A.8 in 2022 edition.)</t>
        </is>
      </c>
      <c r="C52" s="38" t="n"/>
    </row>
    <row r="53" ht="15" customHeight="1">
      <c r="A53" s="12" t="inlineStr">
        <is>
          <t>A.10 — Cryptography</t>
        </is>
      </c>
      <c r="B53" s="8" t="inlineStr">
        <is>
          <t>Policy on cryptographic controls, key management lifecycle.</t>
        </is>
      </c>
      <c r="C53" s="38" t="n"/>
    </row>
    <row r="54" ht="23.85" customHeight="1">
      <c r="A54" s="12" t="inlineStr">
        <is>
          <t>A.12 — Operations Security</t>
        </is>
      </c>
      <c r="B54" s="8" t="inlineStr">
        <is>
          <t>Operational procedures, change management, capacity, separation of environments, malware, backup, logging, vulnerability management.</t>
        </is>
      </c>
      <c r="C54" s="38" t="n"/>
    </row>
    <row r="55" ht="15" customHeight="1">
      <c r="A55" s="12" t="inlineStr">
        <is>
          <t>A.17 — Business Continuity</t>
        </is>
      </c>
      <c r="B55" s="8" t="inlineStr">
        <is>
          <t>Planning, implementing and verifying information security continuity; redundancies.</t>
        </is>
      </c>
      <c r="C55" s="38" t="n"/>
    </row>
    <row r="56" ht="21.75" customHeight="1">
      <c r="A56" s="9" t="inlineStr">
        <is>
          <t>8.  Document Control</t>
        </is>
      </c>
    </row>
    <row r="57" ht="15" customHeight="1">
      <c r="A57" s="12" t="inlineStr">
        <is>
          <t>Owner</t>
        </is>
      </c>
      <c r="B57" s="8" t="inlineStr">
        <is>
          <t>Information Security Lead (or nominated owner) — for ShopNow, the business Owner with input from IT.</t>
        </is>
      </c>
      <c r="C57" s="38" t="n"/>
    </row>
    <row r="58" ht="15" customHeight="1">
      <c r="A58" s="12" t="inlineStr">
        <is>
          <t>Review Frequency</t>
        </is>
      </c>
      <c r="B58" s="8" t="inlineStr">
        <is>
          <t>Minimum annually, or following a significant incident, major organisational change, or new threat intelligence.</t>
        </is>
      </c>
      <c r="C58" s="38" t="n"/>
    </row>
    <row r="59" ht="15" customHeight="1">
      <c r="A59" s="12" t="inlineStr">
        <is>
          <t>Classification</t>
        </is>
      </c>
      <c r="B59" s="8" t="inlineStr">
        <is>
          <t>Mark this document CONFIDENTIAL or above per ShopNow's information classification policy.</t>
        </is>
      </c>
      <c r="C59" s="38" t="n"/>
    </row>
    <row r="60" ht="15" customHeight="1">
      <c r="A60" s="12" t="inlineStr">
        <is>
          <t>Version Control</t>
        </is>
      </c>
      <c r="B60" s="8" t="inlineStr">
        <is>
          <t>Maintain a version log with date, version number, change description, and author name.</t>
        </is>
      </c>
      <c r="C60" s="38" t="n"/>
    </row>
    <row r="62">
      <c r="A62" s="39" t="inlineStr">
        <is>
          <t>9.  Version History</t>
        </is>
      </c>
    </row>
    <row r="63" ht="90" customHeight="1">
      <c r="A63" t="inlineStr">
        <is>
          <t>v2 — 23 Oct 2026</t>
        </is>
      </c>
      <c r="B63" s="40" t="inlineStr">
        <is>
          <t>Improvements: added Annex A control references per risk (column Z); added Residual Within Appetite flag (AA) and an automatic OVERDUE ageing flag (AB); added a Register Summary sheet with a written risk appetite statement and live counts; added three risks (R-009 supplier/third-party, R-010 privileged access, R-011 privacy/PIPEDA); corrected two treatment labels (R-003 Avoid to Mitigate; R-006 Transfer to Mitigate). Several v1 target dates have passed with treatments still open — in a live register these now flag OVERDUE and escalate; owners should re-baseline dates at the next review rather than editing them silently.</t>
        </is>
      </c>
    </row>
  </sheetData>
  <mergeCells count="53">
    <mergeCell ref="A41:C41"/>
    <mergeCell ref="B16:C16"/>
    <mergeCell ref="B54:C54"/>
    <mergeCell ref="B7:C7"/>
    <mergeCell ref="B25:C25"/>
    <mergeCell ref="B59:C59"/>
    <mergeCell ref="A56:C56"/>
    <mergeCell ref="B22:C22"/>
    <mergeCell ref="A21:C21"/>
    <mergeCell ref="B31:C31"/>
    <mergeCell ref="A12:C12"/>
    <mergeCell ref="B18:C18"/>
    <mergeCell ref="A2:C2"/>
    <mergeCell ref="B43:C43"/>
    <mergeCell ref="B58:C58"/>
    <mergeCell ref="B39:C39"/>
    <mergeCell ref="B52:C52"/>
    <mergeCell ref="B48:C48"/>
    <mergeCell ref="A47:C47"/>
    <mergeCell ref="B42:C42"/>
    <mergeCell ref="B23:C23"/>
    <mergeCell ref="B60:C60"/>
    <mergeCell ref="B14:C14"/>
    <mergeCell ref="B17:C17"/>
    <mergeCell ref="A35:C35"/>
    <mergeCell ref="B57:C57"/>
    <mergeCell ref="B8:C8"/>
    <mergeCell ref="A4:C4"/>
    <mergeCell ref="B53:C53"/>
    <mergeCell ref="B13:C13"/>
    <mergeCell ref="A28:C28"/>
    <mergeCell ref="B44:C44"/>
    <mergeCell ref="B38:C38"/>
    <mergeCell ref="B29:C29"/>
    <mergeCell ref="B19:C19"/>
    <mergeCell ref="B37:C37"/>
    <mergeCell ref="B10:C10"/>
    <mergeCell ref="B9:C9"/>
    <mergeCell ref="B49:C49"/>
    <mergeCell ref="B55:C55"/>
    <mergeCell ref="B6:C6"/>
    <mergeCell ref="B30:C30"/>
    <mergeCell ref="B24:C24"/>
    <mergeCell ref="B15:C15"/>
    <mergeCell ref="B33:C33"/>
    <mergeCell ref="A1:C1"/>
    <mergeCell ref="B51:C51"/>
    <mergeCell ref="B5:C5"/>
    <mergeCell ref="B45:C45"/>
    <mergeCell ref="B36:C36"/>
    <mergeCell ref="B32:C32"/>
    <mergeCell ref="B50:C50"/>
    <mergeCell ref="B26:C26"/>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1:O23"/>
  <sheetViews>
    <sheetView showGridLines="0" zoomScaleNormal="100" workbookViewId="0">
      <selection activeCell="A1" sqref="A1"/>
    </sheetView>
  </sheetViews>
  <sheetFormatPr baseColWidth="8" defaultColWidth="8.7109375" defaultRowHeight="15"/>
  <cols>
    <col width="2" customWidth="1" min="1" max="1"/>
    <col width="22" customWidth="1" min="2" max="2"/>
    <col width="16" customWidth="1" min="3" max="3"/>
    <col width="38" customWidth="1" min="4" max="4"/>
    <col width="16" customWidth="1" min="5" max="5"/>
    <col width="10" customWidth="1" min="6" max="6"/>
    <col width="16" customWidth="1" min="7" max="7"/>
    <col width="38" customWidth="1" min="8" max="8"/>
    <col width="11" customWidth="1" min="10" max="15"/>
  </cols>
  <sheetData>
    <row r="1" ht="21" customHeight="1">
      <c r="B1" s="6" t="inlineStr">
        <is>
          <t>Risk Heat Map  —  5 x 5 Matrix</t>
        </is>
      </c>
      <c r="J1" s="5" t="inlineStr">
        <is>
          <t>Lookup (formula reference — do not edit)</t>
        </is>
      </c>
    </row>
    <row r="2">
      <c r="J2" s="17" t="inlineStr">
        <is>
          <t>Impact↓/LH→</t>
        </is>
      </c>
      <c r="K2" s="17" t="n">
        <v>1</v>
      </c>
      <c r="L2" s="17" t="n">
        <v>2</v>
      </c>
      <c r="M2" s="17" t="n">
        <v>3</v>
      </c>
      <c r="N2" s="17" t="n">
        <v>4</v>
      </c>
      <c r="O2" s="17" t="n">
        <v>5</v>
      </c>
    </row>
    <row r="3" ht="30" customHeight="1">
      <c r="B3" s="18" t="inlineStr">
        <is>
          <t>Impact ↓  /  Likelihood →</t>
        </is>
      </c>
      <c r="C3" s="19" t="inlineStr">
        <is>
          <t>1 - Rare</t>
        </is>
      </c>
      <c r="D3" s="19" t="inlineStr">
        <is>
          <t>2 - Unlikely</t>
        </is>
      </c>
      <c r="E3" s="19" t="inlineStr">
        <is>
          <t>3 - Possible</t>
        </is>
      </c>
      <c r="F3" s="19" t="inlineStr">
        <is>
          <t>4 - Likely</t>
        </is>
      </c>
      <c r="G3" s="19" t="inlineStr">
        <is>
          <t>5 - Almost Certain</t>
        </is>
      </c>
      <c r="J3" s="17" t="n">
        <v>5</v>
      </c>
      <c r="K3" s="20" t="inlineStr">
        <is>
          <t>M</t>
        </is>
      </c>
      <c r="L3" s="20" t="inlineStr">
        <is>
          <t>M</t>
        </is>
      </c>
      <c r="M3" s="20" t="inlineStr">
        <is>
          <t>M</t>
        </is>
      </c>
      <c r="N3" s="20" t="inlineStr">
        <is>
          <t>H</t>
        </is>
      </c>
      <c r="O3" s="20" t="inlineStr">
        <is>
          <t>VH</t>
        </is>
      </c>
    </row>
    <row r="4" ht="30" customHeight="1">
      <c r="B4" s="21" t="inlineStr">
        <is>
          <t>5 - Catastrophic</t>
        </is>
      </c>
      <c r="C4" s="22" t="inlineStr">
        <is>
          <t>M</t>
        </is>
      </c>
      <c r="D4" s="22" t="inlineStr">
        <is>
          <t>M</t>
        </is>
      </c>
      <c r="E4" s="22" t="inlineStr">
        <is>
          <t>M</t>
        </is>
      </c>
      <c r="F4" s="23" t="inlineStr">
        <is>
          <t>H</t>
        </is>
      </c>
      <c r="G4" s="24" t="inlineStr">
        <is>
          <t>VH</t>
        </is>
      </c>
      <c r="J4" s="17" t="n">
        <v>4</v>
      </c>
      <c r="K4" s="20" t="inlineStr">
        <is>
          <t>M</t>
        </is>
      </c>
      <c r="L4" s="20" t="inlineStr">
        <is>
          <t>M</t>
        </is>
      </c>
      <c r="M4" s="20" t="inlineStr">
        <is>
          <t>M</t>
        </is>
      </c>
      <c r="N4" s="20" t="inlineStr">
        <is>
          <t>H</t>
        </is>
      </c>
      <c r="O4" s="20" t="inlineStr">
        <is>
          <t>H</t>
        </is>
      </c>
    </row>
    <row r="5" ht="30" customHeight="1">
      <c r="B5" s="21" t="inlineStr">
        <is>
          <t>4 - Major</t>
        </is>
      </c>
      <c r="C5" s="22" t="inlineStr">
        <is>
          <t>M</t>
        </is>
      </c>
      <c r="D5" s="22" t="inlineStr">
        <is>
          <t>M</t>
        </is>
      </c>
      <c r="E5" s="22" t="inlineStr">
        <is>
          <t>M</t>
        </is>
      </c>
      <c r="F5" s="23" t="inlineStr">
        <is>
          <t>H</t>
        </is>
      </c>
      <c r="G5" s="23" t="inlineStr">
        <is>
          <t>H</t>
        </is>
      </c>
      <c r="J5" s="17" t="n">
        <v>3</v>
      </c>
      <c r="K5" s="20" t="inlineStr">
        <is>
          <t>L</t>
        </is>
      </c>
      <c r="L5" s="20" t="inlineStr">
        <is>
          <t>M</t>
        </is>
      </c>
      <c r="M5" s="20" t="inlineStr">
        <is>
          <t>M</t>
        </is>
      </c>
      <c r="N5" s="20" t="inlineStr">
        <is>
          <t>M</t>
        </is>
      </c>
      <c r="O5" s="20" t="inlineStr">
        <is>
          <t>M</t>
        </is>
      </c>
    </row>
    <row r="6" ht="30" customHeight="1">
      <c r="B6" s="21" t="inlineStr">
        <is>
          <t>3 - Severe</t>
        </is>
      </c>
      <c r="C6" s="25" t="inlineStr">
        <is>
          <t>L</t>
        </is>
      </c>
      <c r="D6" s="22" t="inlineStr">
        <is>
          <t>M</t>
        </is>
      </c>
      <c r="E6" s="22" t="inlineStr">
        <is>
          <t>M</t>
        </is>
      </c>
      <c r="F6" s="22" t="inlineStr">
        <is>
          <t>M</t>
        </is>
      </c>
      <c r="G6" s="22" t="inlineStr">
        <is>
          <t>M</t>
        </is>
      </c>
      <c r="J6" s="17" t="n">
        <v>2</v>
      </c>
      <c r="K6" s="20" t="inlineStr">
        <is>
          <t>L</t>
        </is>
      </c>
      <c r="L6" s="20" t="inlineStr">
        <is>
          <t>L</t>
        </is>
      </c>
      <c r="M6" s="20" t="inlineStr">
        <is>
          <t>M</t>
        </is>
      </c>
      <c r="N6" s="20" t="inlineStr">
        <is>
          <t>M</t>
        </is>
      </c>
      <c r="O6" s="20" t="inlineStr">
        <is>
          <t>M</t>
        </is>
      </c>
    </row>
    <row r="7" ht="30" customHeight="1">
      <c r="B7" s="21" t="inlineStr">
        <is>
          <t>2 - Serious</t>
        </is>
      </c>
      <c r="C7" s="25" t="inlineStr">
        <is>
          <t>L</t>
        </is>
      </c>
      <c r="D7" s="25" t="inlineStr">
        <is>
          <t>L</t>
        </is>
      </c>
      <c r="E7" s="22" t="inlineStr">
        <is>
          <t>M</t>
        </is>
      </c>
      <c r="F7" s="22" t="inlineStr">
        <is>
          <t>M</t>
        </is>
      </c>
      <c r="G7" s="22" t="inlineStr">
        <is>
          <t>M</t>
        </is>
      </c>
      <c r="J7" s="17" t="n">
        <v>1</v>
      </c>
      <c r="K7" s="20" t="inlineStr">
        <is>
          <t>L</t>
        </is>
      </c>
      <c r="L7" s="20" t="inlineStr">
        <is>
          <t>L</t>
        </is>
      </c>
      <c r="M7" s="20" t="inlineStr">
        <is>
          <t>L</t>
        </is>
      </c>
      <c r="N7" s="20" t="inlineStr">
        <is>
          <t>L</t>
        </is>
      </c>
      <c r="O7" s="20" t="inlineStr">
        <is>
          <t>M</t>
        </is>
      </c>
    </row>
    <row r="8" ht="30" customHeight="1">
      <c r="B8" s="21" t="inlineStr">
        <is>
          <t>1 - Minor</t>
        </is>
      </c>
      <c r="C8" s="25" t="inlineStr">
        <is>
          <t>L</t>
        </is>
      </c>
      <c r="D8" s="25" t="inlineStr">
        <is>
          <t>L</t>
        </is>
      </c>
      <c r="E8" s="25" t="inlineStr">
        <is>
          <t>L</t>
        </is>
      </c>
      <c r="F8" s="25" t="inlineStr">
        <is>
          <t>L</t>
        </is>
      </c>
      <c r="G8" s="22" t="inlineStr">
        <is>
          <t>M</t>
        </is>
      </c>
    </row>
    <row r="10">
      <c r="B10" s="4" t="inlineStr">
        <is>
          <t>Legend — Cell Colour Key</t>
        </is>
      </c>
    </row>
    <row r="11" ht="21.75" customHeight="1">
      <c r="B11" s="26" t="inlineStr">
        <is>
          <t>L</t>
        </is>
      </c>
      <c r="C11" s="27" t="inlineStr">
        <is>
          <t>Low Risk — Monitor. Review at next scheduled cycle. No immediate action required.</t>
        </is>
      </c>
      <c r="D11" s="41" t="n"/>
      <c r="E11" s="41" t="n"/>
      <c r="F11" s="41" t="n"/>
      <c r="G11" s="38" t="n"/>
    </row>
    <row r="12" ht="21.75" customHeight="1">
      <c r="B12" s="28" t="inlineStr">
        <is>
          <t>M</t>
        </is>
      </c>
      <c r="C12" s="27" t="inlineStr">
        <is>
          <t>Medium Risk — Mitigate within 90 days. Assign owner. Report to departmental manager.</t>
        </is>
      </c>
      <c r="D12" s="41" t="n"/>
      <c r="E12" s="41" t="n"/>
      <c r="F12" s="41" t="n"/>
      <c r="G12" s="38" t="n"/>
    </row>
    <row r="13" ht="21.75" customHeight="1">
      <c r="B13" s="29" t="inlineStr">
        <is>
          <t>H</t>
        </is>
      </c>
      <c r="C13" s="27" t="inlineStr">
        <is>
          <t>High Risk — Urgent. Escalate to senior management. Treatment within 30 days.</t>
        </is>
      </c>
      <c r="D13" s="41" t="n"/>
      <c r="E13" s="41" t="n"/>
      <c r="F13" s="41" t="n"/>
      <c r="G13" s="38" t="n"/>
    </row>
    <row r="14" ht="21.75" customHeight="1">
      <c r="B14" s="30" t="inlineStr">
        <is>
          <t>VH</t>
        </is>
      </c>
      <c r="C14" s="27" t="inlineStr">
        <is>
          <t>Very High Risk — Immediate action. Board-level escalation. Treat before resuming normal ops.</t>
        </is>
      </c>
      <c r="D14" s="41" t="n"/>
      <c r="E14" s="41" t="n"/>
      <c r="F14" s="41" t="n"/>
      <c r="G14" s="38" t="n"/>
    </row>
    <row r="17">
      <c r="B17" s="4" t="inlineStr">
        <is>
          <t>LIKELIHOOD Description</t>
        </is>
      </c>
      <c r="F17" s="4" t="inlineStr">
        <is>
          <t>IMPACT Description</t>
        </is>
      </c>
    </row>
    <row r="18">
      <c r="B18" s="21" t="inlineStr">
        <is>
          <t>Score</t>
        </is>
      </c>
      <c r="C18" s="21" t="inlineStr">
        <is>
          <t>Likelihood</t>
        </is>
      </c>
      <c r="D18" s="21" t="inlineStr">
        <is>
          <t>Description</t>
        </is>
      </c>
      <c r="F18" s="21" t="inlineStr">
        <is>
          <t>Score</t>
        </is>
      </c>
      <c r="G18" s="21" t="inlineStr">
        <is>
          <t>Impact</t>
        </is>
      </c>
      <c r="H18" s="21" t="inlineStr">
        <is>
          <t>Description</t>
        </is>
      </c>
    </row>
    <row r="19">
      <c r="B19" s="31" t="n">
        <v>1</v>
      </c>
      <c r="C19" s="31" t="inlineStr">
        <is>
          <t>Rare</t>
        </is>
      </c>
      <c r="D19" s="27" t="inlineStr">
        <is>
          <t>Very unlikely to occur. No known incidents.</t>
        </is>
      </c>
      <c r="F19" s="31" t="n">
        <v>1</v>
      </c>
      <c r="G19" s="31" t="inlineStr">
        <is>
          <t>Minor</t>
        </is>
      </c>
      <c r="H19" s="27" t="inlineStr">
        <is>
          <t>Minimal disruption. No regulatory impact.</t>
        </is>
      </c>
    </row>
    <row r="20" ht="25.5" customHeight="1">
      <c r="B20" s="31" t="n">
        <v>2</v>
      </c>
      <c r="C20" s="31" t="inlineStr">
        <is>
          <t>Unlikely</t>
        </is>
      </c>
      <c r="D20" s="27" t="inlineStr">
        <is>
          <t>Could occur but not expected in normal circumstances.</t>
        </is>
      </c>
      <c r="F20" s="31" t="n">
        <v>2</v>
      </c>
      <c r="G20" s="31" t="inlineStr">
        <is>
          <t>Serious</t>
        </is>
      </c>
      <c r="H20" s="27" t="inlineStr">
        <is>
          <t>Small operational disruption. Easily recoverable.</t>
        </is>
      </c>
    </row>
    <row r="21" ht="25.5" customHeight="1">
      <c r="B21" s="31" t="n">
        <v>3</v>
      </c>
      <c r="C21" s="31" t="inlineStr">
        <is>
          <t>Possible</t>
        </is>
      </c>
      <c r="D21" s="27" t="inlineStr">
        <is>
          <t>Has occurred before in the organisation or industry.</t>
        </is>
      </c>
      <c r="F21" s="31" t="n">
        <v>3</v>
      </c>
      <c r="G21" s="31" t="inlineStr">
        <is>
          <t>Severe</t>
        </is>
      </c>
      <c r="H21" s="27" t="inlineStr">
        <is>
          <t>Noticeable business impact or limited financial loss.</t>
        </is>
      </c>
    </row>
    <row r="22" ht="25.5" customHeight="1">
      <c r="B22" s="31" t="n">
        <v>4</v>
      </c>
      <c r="C22" s="31" t="inlineStr">
        <is>
          <t>Likely</t>
        </is>
      </c>
      <c r="D22" s="27" t="inlineStr">
        <is>
          <t>Expected to occur periodically.</t>
        </is>
      </c>
      <c r="F22" s="31" t="n">
        <v>4</v>
      </c>
      <c r="G22" s="31" t="inlineStr">
        <is>
          <t>Major</t>
        </is>
      </c>
      <c r="H22" s="27" t="inlineStr">
        <is>
          <t>Significant operational disruption or regulatory exposure.</t>
        </is>
      </c>
    </row>
    <row r="23" ht="25.5" customHeight="1">
      <c r="B23" s="31" t="n">
        <v>5</v>
      </c>
      <c r="C23" s="31" t="inlineStr">
        <is>
          <t>Almost Certain</t>
        </is>
      </c>
      <c r="D23" s="27" t="inlineStr">
        <is>
          <t>Happens frequently or is inevitable without controls.</t>
        </is>
      </c>
      <c r="F23" s="31" t="n">
        <v>5</v>
      </c>
      <c r="G23" s="31" t="inlineStr">
        <is>
          <t>Catastrophic</t>
        </is>
      </c>
      <c r="H23" s="27" t="inlineStr">
        <is>
          <t>Major financial loss, legal penalties, or reputational damage.</t>
        </is>
      </c>
    </row>
  </sheetData>
  <mergeCells count="9">
    <mergeCell ref="B10:G10"/>
    <mergeCell ref="C12:G12"/>
    <mergeCell ref="J1:O1"/>
    <mergeCell ref="B1:G1"/>
    <mergeCell ref="B17:D17"/>
    <mergeCell ref="C11:G11"/>
    <mergeCell ref="F17:H17"/>
    <mergeCell ref="C14:G14"/>
    <mergeCell ref="C13:G13"/>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2" customWidth="1" min="1" max="1"/>
    <col width="14" customWidth="1" min="2" max="2"/>
  </cols>
  <sheetData>
    <row r="1">
      <c r="A1" s="42" t="inlineStr">
        <is>
          <t>ShopNow Risk Register — Summary (v2)</t>
        </is>
      </c>
    </row>
    <row r="3">
      <c r="A3" s="43" t="inlineStr">
        <is>
          <t>Risk Appetite Statement</t>
        </is>
      </c>
    </row>
    <row r="4" ht="45" customHeight="1">
      <c r="A4" s="40" t="inlineStr">
        <is>
          <t>ShopNow accepts Low and Medium residual risk. High residual risk requires a dated treatment plan and owner sign-off. Very High residual risk is not accepted: the activity stops or escalates to the Owner immediately. Any risk whose treatment target date passes while still open escalates automatically (see Ageing flag, column AB).</t>
        </is>
      </c>
    </row>
    <row r="6">
      <c r="A6" s="43" t="inlineStr">
        <is>
          <t>Register at a glance</t>
        </is>
      </c>
    </row>
    <row r="7">
      <c r="A7" t="inlineStr">
        <is>
          <t>Total risks</t>
        </is>
      </c>
      <c r="B7">
        <f>COUNTA('Risk Register'!A5:A100)</f>
        <v/>
      </c>
    </row>
    <row r="8">
      <c r="A8" t="inlineStr">
        <is>
          <t>Open</t>
        </is>
      </c>
      <c r="B8">
        <f>COUNTIF('Risk Register'!Q5:Q100,"Open")</f>
        <v/>
      </c>
    </row>
    <row r="9">
      <c r="A9" t="inlineStr">
        <is>
          <t>In Progress</t>
        </is>
      </c>
      <c r="B9">
        <f>COUNTIF('Risk Register'!Q5:Q100,"In Progress")</f>
        <v/>
      </c>
    </row>
    <row r="10">
      <c r="A10" t="inlineStr">
        <is>
          <t>Closed</t>
        </is>
      </c>
      <c r="B10">
        <f>COUNTIF('Risk Register'!Q5:Q100,"Closed")</f>
        <v/>
      </c>
    </row>
    <row r="11">
      <c r="A11" t="inlineStr">
        <is>
          <t>Inherent: Very High</t>
        </is>
      </c>
      <c r="B11">
        <f>COUNTIF('Risk Register'!L5:L100,"VH")</f>
        <v/>
      </c>
    </row>
    <row r="12">
      <c r="A12" t="inlineStr">
        <is>
          <t>Inherent: High</t>
        </is>
      </c>
      <c r="B12">
        <f>COUNTIF('Risk Register'!L5:L100,"H")</f>
        <v/>
      </c>
    </row>
    <row r="13">
      <c r="A13" t="inlineStr">
        <is>
          <t>Residual above appetite (H/VH)</t>
        </is>
      </c>
      <c r="B13">
        <f>COUNTIF('Risk Register'!AA5:AA100,"NO - escalate")</f>
        <v/>
      </c>
    </row>
    <row r="14">
      <c r="A14" t="inlineStr">
        <is>
          <t>Overdue treatments</t>
        </is>
      </c>
      <c r="B14">
        <f>COUNTIF('Risk Register'!AB5:AB100,"OVERDUE")</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5"/>
  <sheetViews>
    <sheetView showGridLines="0" tabSelected="1" zoomScale="80" zoomScaleNormal="80" workbookViewId="0">
      <pane xSplit="1" ySplit="4" topLeftCell="E5" activePane="bottomRight" state="frozen"/>
      <selection pane="topRight" activeCell="B1" sqref="B1"/>
      <selection pane="bottomLeft" activeCell="A5" sqref="A5"/>
      <selection pane="bottomRight" activeCell="G7" sqref="G7"/>
    </sheetView>
  </sheetViews>
  <sheetFormatPr baseColWidth="8" defaultColWidth="8.7109375" defaultRowHeight="15"/>
  <cols>
    <col width="8" customWidth="1" min="1" max="1"/>
    <col width="24" customWidth="1" min="2" max="2"/>
    <col width="22" customWidth="1" min="3" max="4"/>
    <col width="28" customWidth="1" min="5" max="5"/>
    <col width="34" customWidth="1" min="6" max="7"/>
    <col width="24" customWidth="1" min="8" max="8"/>
    <col width="14" customWidth="1" min="9" max="10"/>
    <col width="9" customWidth="1" min="11" max="11"/>
    <col width="10" customWidth="1" min="12" max="12"/>
    <col width="13" customWidth="1" min="13" max="13"/>
    <col width="36" customWidth="1" min="14" max="14"/>
    <col width="16" customWidth="1" min="15" max="15"/>
    <col width="12" customWidth="1" min="16" max="16"/>
    <col width="13" customWidth="1" min="17" max="17"/>
    <col width="32" customWidth="1" min="18" max="18"/>
    <col width="12" customWidth="1" min="19" max="19"/>
    <col width="14" customWidth="1" min="20" max="21"/>
    <col width="9" customWidth="1" min="22" max="22"/>
    <col width="10" customWidth="1" min="23" max="23"/>
    <col width="13" customWidth="1" min="24" max="24"/>
    <col width="24" customWidth="1" min="25" max="25"/>
    <col width="30" customWidth="1" min="26" max="26"/>
    <col width="14" customWidth="1" min="27" max="27"/>
    <col width="22" customWidth="1" min="28" max="28"/>
  </cols>
  <sheetData>
    <row r="1" ht="31.5" customHeight="1">
      <c r="A1" s="11" t="inlineStr">
        <is>
          <t>ShopNow Information Security Risk Register</t>
        </is>
      </c>
    </row>
    <row r="2" ht="21.75" customHeight="1">
      <c r="A2" s="10" t="inlineStr">
        <is>
          <t>Aligned to ISO/IEC 27001:2022 · Annex A Controls · 5x5 Heat-Map Matrix  |  Row colour = inherent risk level</t>
        </is>
      </c>
    </row>
    <row r="3" ht="24" customHeight="1">
      <c r="A3" s="32" t="inlineStr">
        <is>
          <t>Ref</t>
        </is>
      </c>
      <c r="B3" s="2" t="inlineStr">
        <is>
          <t>RISK IDENTIFICATION</t>
        </is>
      </c>
      <c r="I3" s="32" t="inlineStr">
        <is>
          <t>RISK ASSESSMENT</t>
        </is>
      </c>
      <c r="M3" s="2" t="inlineStr">
        <is>
          <t>RISK TREATMENT</t>
        </is>
      </c>
      <c r="T3" s="32" t="inlineStr">
        <is>
          <t>RESIDUAL RISK</t>
        </is>
      </c>
      <c r="X3" s="2" t="inlineStr">
        <is>
          <t>NOTES</t>
        </is>
      </c>
    </row>
    <row r="4" ht="42" customHeight="1">
      <c r="A4" s="33" t="inlineStr">
        <is>
          <t>Risk
ID</t>
        </is>
      </c>
      <c r="B4" s="33" t="inlineStr">
        <is>
          <t>ISO 27001
Domain</t>
        </is>
      </c>
      <c r="C4" s="33" t="inlineStr">
        <is>
          <t>Information
Asset</t>
        </is>
      </c>
      <c r="D4" s="33" t="inlineStr">
        <is>
          <t>Threat
Description</t>
        </is>
      </c>
      <c r="E4" s="33" t="inlineStr">
        <is>
          <t>Vulnerability</t>
        </is>
      </c>
      <c r="F4" s="33" t="inlineStr">
        <is>
          <t>Risk Statement</t>
        </is>
      </c>
      <c r="G4" s="33" t="inlineStr">
        <is>
          <t>Risk Description</t>
        </is>
      </c>
      <c r="H4" s="33" t="inlineStr">
        <is>
          <t>Existing
Controls</t>
        </is>
      </c>
      <c r="I4" s="33" t="inlineStr">
        <is>
          <t>Likelihood</t>
        </is>
      </c>
      <c r="J4" s="33" t="inlineStr">
        <is>
          <t>Impact</t>
        </is>
      </c>
      <c r="K4" s="33" t="inlineStr">
        <is>
          <t>Risk
Score</t>
        </is>
      </c>
      <c r="L4" s="33" t="inlineStr">
        <is>
          <t>Risk
Rating</t>
        </is>
      </c>
      <c r="M4" s="33" t="inlineStr">
        <is>
          <t>Treatment
Option</t>
        </is>
      </c>
      <c r="N4" s="33" t="inlineStr">
        <is>
          <t>Treatment Plan /
Additional Controls</t>
        </is>
      </c>
      <c r="O4" s="33" t="inlineStr">
        <is>
          <t>Risk
Owner</t>
        </is>
      </c>
      <c r="P4" s="33" t="inlineStr">
        <is>
          <t>Target
Date</t>
        </is>
      </c>
      <c r="Q4" s="33" t="inlineStr">
        <is>
          <t>Status</t>
        </is>
      </c>
      <c r="R4" s="33" t="inlineStr">
        <is>
          <t>Treatment
Action</t>
        </is>
      </c>
      <c r="S4" s="33" t="inlineStr">
        <is>
          <t>Review
Date</t>
        </is>
      </c>
      <c r="T4" s="33" t="inlineStr">
        <is>
          <t>Residual
Likelihood</t>
        </is>
      </c>
      <c r="U4" s="33" t="inlineStr">
        <is>
          <t>Residual
Impact</t>
        </is>
      </c>
      <c r="V4" s="33" t="inlineStr">
        <is>
          <t>Residual
Score</t>
        </is>
      </c>
      <c r="W4" s="33" t="inlineStr">
        <is>
          <t>Residual
Rating</t>
        </is>
      </c>
      <c r="X4" s="33" t="inlineStr">
        <is>
          <t>Next Review
Date</t>
        </is>
      </c>
      <c r="Y4" s="33" t="inlineStr">
        <is>
          <t>Notes /
Comments</t>
        </is>
      </c>
      <c r="Z4" s="33" t="inlineStr">
        <is>
          <t>ISO 27001:2022
Annex A Controls</t>
        </is>
      </c>
      <c r="AA4" s="33" t="inlineStr">
        <is>
          <t>Residual Within
Appetite?</t>
        </is>
      </c>
      <c r="AB4" s="33" t="inlineStr">
        <is>
          <t>Ageing /
Escalation Flag</t>
        </is>
      </c>
    </row>
    <row r="5" ht="109.5" customHeight="1">
      <c r="A5" s="34" t="inlineStr">
        <is>
          <t>R-001</t>
        </is>
      </c>
      <c r="B5" s="35" t="inlineStr">
        <is>
          <t>A.6 — People Controls / A.12 — Operations Security</t>
        </is>
      </c>
      <c r="C5" s="35" t="inlineStr">
        <is>
          <t>Email System; Staff Accounts</t>
        </is>
      </c>
      <c r="D5" s="35" t="inlineStr">
        <is>
          <t>Phishing / Social Engineering</t>
        </is>
      </c>
      <c r="E5" s="35" t="inlineStr">
        <is>
          <t>Basic spam filtering only; no staff awareness training; no DMARC/SPF/DKIM</t>
        </is>
      </c>
      <c r="F5" s="35" t="inlineStr">
        <is>
          <t>A staff member discloses credentials or initiates a fraudulent payment following a phishing email, leading to account takeover and financial loss.</t>
        </is>
      </c>
      <c r="G5" s="35" t="inlineStr">
        <is>
          <t>ShopNow staff have already received phishing emails that nearly succeeded. Without advanced filtering and awareness training, a successful attack is expected within the year.</t>
        </is>
      </c>
      <c r="H5" s="35" t="inlineStr">
        <is>
          <t>Basic email spam filters; informal warnings to staff</t>
        </is>
      </c>
      <c r="I5" s="36" t="inlineStr">
        <is>
          <t>4 - Likely</t>
        </is>
      </c>
      <c r="J5" s="36" t="inlineStr">
        <is>
          <t>3 - Severe</t>
        </is>
      </c>
      <c r="K5" s="36">
        <f>IFERROR(IF(AND(I5&lt;&gt;"",J5&lt;&gt;""),VALUE(LEFT(I5,1))*VALUE(LEFT(J5,1)),""),"")</f>
        <v/>
      </c>
      <c r="L5" s="36">
        <f>IFERROR(IF(AND(I5&lt;&gt;"",J5&lt;&gt;""),INDEX('Risk Matrix'!$K$3:$O$7,MATCH(VALUE(LEFT(J5,1)),'Risk Matrix'!$J$3:$J$7,0),MATCH(VALUE(LEFT(I5,1)),'Risk Matrix'!$K$2:$O$2,0)),""),"")</f>
        <v/>
      </c>
      <c r="M5" s="35" t="inlineStr">
        <is>
          <t>Mitigate</t>
        </is>
      </c>
      <c r="N5" s="35" t="inlineStr">
        <is>
          <t>Deploy DMARC/SPF/DKIM email authentication; deliver phishing awareness training quarterly; run simulated phishing tests; establish a clear reporting channel for suspicious emails</t>
        </is>
      </c>
      <c r="O5" s="35" t="inlineStr">
        <is>
          <t>IT / Owner</t>
        </is>
      </c>
      <c r="P5" s="37" t="n">
        <v>46203</v>
      </c>
      <c r="Q5" s="36" t="inlineStr">
        <is>
          <t>In Progress</t>
        </is>
      </c>
      <c r="R5" s="35" t="inlineStr">
        <is>
          <t>Vendor evaluation underway for advanced email filtering; first training session scheduled</t>
        </is>
      </c>
      <c r="S5" s="37" t="n">
        <v>46188</v>
      </c>
      <c r="T5" s="36" t="inlineStr">
        <is>
          <t>2 - Unlikely</t>
        </is>
      </c>
      <c r="U5" s="36" t="inlineStr">
        <is>
          <t>2 - Serious</t>
        </is>
      </c>
      <c r="V5" s="36">
        <f>IFERROR(IF(AND(T5&lt;&gt;"",U5&lt;&gt;""),VALUE(LEFT(T5,1))*VALUE(LEFT(U5,1)),""),"")</f>
        <v/>
      </c>
      <c r="W5" s="36">
        <f>IFERROR(IF(AND(T5&lt;&gt;"",U5&lt;&gt;""),INDEX('Risk Matrix'!$K$3:$O$7,MATCH(VALUE(LEFT(U5,1)),'Risk Matrix'!$J$3:$J$7,0),MATCH(VALUE(LEFT(T5,1)),'Risk Matrix'!$K$2:$O$2,0)),""),"")</f>
        <v/>
      </c>
      <c r="X5" s="37" t="n">
        <v>46295</v>
      </c>
      <c r="Y5" s="35" t="inlineStr">
        <is>
          <t>Reference incidents: near-miss disclosure event noted in case study</t>
        </is>
      </c>
      <c r="Z5" t="inlineStr">
        <is>
          <t>A.5.15, A.5.17, A.8.7, A.6.3</t>
        </is>
      </c>
      <c r="AA5">
        <f>IF(W5="","",IF(OR(W5="L",W5="M"),"Yes","NO - escalate"))</f>
        <v/>
      </c>
      <c r="AB5">
        <f>IF(AND(Q5&lt;&gt;"Closed",P5&lt;&gt;"",P5&lt;TODAY()),"OVERDUE","")</f>
        <v/>
      </c>
    </row>
    <row r="6" ht="109.5" customHeight="1">
      <c r="A6" s="34" t="inlineStr">
        <is>
          <t>R-002</t>
        </is>
      </c>
      <c r="B6" s="35" t="inlineStr">
        <is>
          <t>A.8 — Technological Controls</t>
        </is>
      </c>
      <c r="C6" s="35" t="inlineStr">
        <is>
          <t>Public Website; Customer Database</t>
        </is>
      </c>
      <c r="D6" s="35" t="inlineStr">
        <is>
          <t>SQL Injection Attack</t>
        </is>
      </c>
      <c r="E6" s="35" t="inlineStr">
        <is>
          <t>Limited input validation; basic WAF without tuned rules; legacy code paths</t>
        </is>
      </c>
      <c r="F6" s="35" t="inlineStr">
        <is>
          <t>An attacker exploits unsanitised input on the ShopNow website to extract or modify customer database records, leading to a customer data breach.</t>
        </is>
      </c>
      <c r="G6" s="35" t="inlineStr">
        <is>
          <t>Automated SQL injection attempts have already been observed against the public site. A successful exploitation would expose customer PII and possibly payment data.</t>
        </is>
      </c>
      <c r="H6" s="35" t="inlineStr">
        <is>
          <t>Basic web application firewall (WAF)</t>
        </is>
      </c>
      <c r="I6" s="36" t="inlineStr">
        <is>
          <t>4 - Likely</t>
        </is>
      </c>
      <c r="J6" s="36" t="inlineStr">
        <is>
          <t>4 - Major</t>
        </is>
      </c>
      <c r="K6" s="36">
        <f>IFERROR(IF(AND(I6&lt;&gt;"",J6&lt;&gt;""),VALUE(LEFT(I6,1))*VALUE(LEFT(J6,1)),""),"")</f>
        <v/>
      </c>
      <c r="L6" s="36">
        <f>IFERROR(IF(AND(I6&lt;&gt;"",J6&lt;&gt;""),INDEX('Risk Matrix'!$K$3:$O$7,MATCH(VALUE(LEFT(J6,1)),'Risk Matrix'!$J$3:$J$7,0),MATCH(VALUE(LEFT(I6,1)),'Risk Matrix'!$K$2:$O$2,0)),""),"")</f>
        <v/>
      </c>
      <c r="M6" s="35" t="inlineStr">
        <is>
          <t>Mitigate</t>
        </is>
      </c>
      <c r="N6" s="35" t="inlineStr">
        <is>
          <t>Tune WAF with OWASP Core Rule Set; enforce parameterised queries in code; run quarterly vulnerability scans; commission an annual penetration test</t>
        </is>
      </c>
      <c r="O6" s="35" t="inlineStr">
        <is>
          <t>Web Developer</t>
        </is>
      </c>
      <c r="P6" s="37" t="n">
        <v>46218</v>
      </c>
      <c r="Q6" s="36" t="inlineStr">
        <is>
          <t>Open</t>
        </is>
      </c>
      <c r="R6" s="35" t="inlineStr">
        <is>
          <t>Awaiting developer capacity; vulnerability scan scheduled for Q3</t>
        </is>
      </c>
      <c r="S6" s="37" t="n">
        <v>46204</v>
      </c>
      <c r="T6" s="36" t="inlineStr">
        <is>
          <t>2 - Unlikely</t>
        </is>
      </c>
      <c r="U6" s="36" t="inlineStr">
        <is>
          <t>3 - Severe</t>
        </is>
      </c>
      <c r="V6" s="36">
        <f>IFERROR(IF(AND(T6&lt;&gt;"",U6&lt;&gt;""),VALUE(LEFT(T6,1))*VALUE(LEFT(U6,1)),""),"")</f>
        <v/>
      </c>
      <c r="W6" s="36">
        <f>IFERROR(IF(AND(T6&lt;&gt;"",U6&lt;&gt;""),INDEX('Risk Matrix'!$K$3:$O$7,MATCH(VALUE(LEFT(U6,1)),'Risk Matrix'!$J$3:$J$7,0),MATCH(VALUE(LEFT(T6,1)),'Risk Matrix'!$K$2:$O$2,0)),""),"")</f>
        <v/>
      </c>
      <c r="X6" s="37" t="n">
        <v>46326</v>
      </c>
      <c r="Y6" s="35" t="inlineStr">
        <is>
          <t>Linked to R-005 customer data breach</t>
        </is>
      </c>
      <c r="Z6" t="inlineStr">
        <is>
          <t>A.8.25, A.8.26, A.8.8, A.8.34</t>
        </is>
      </c>
      <c r="AA6">
        <f>IF(W6="","",IF(OR(W6="L",W6="M"),"Yes","NO - escalate"))</f>
        <v/>
      </c>
      <c r="AB6">
        <f>IF(AND(Q6&lt;&gt;"Closed",P6&lt;&gt;"",P6&lt;TODAY()),"OVERDUE","")</f>
        <v/>
      </c>
    </row>
    <row r="7" ht="109.5" customHeight="1">
      <c r="A7" s="34" t="inlineStr">
        <is>
          <t>R-003</t>
        </is>
      </c>
      <c r="B7" s="35" t="inlineStr">
        <is>
          <t>A.5 — Organisational Controls / A.8 — Technological Controls</t>
        </is>
      </c>
      <c r="C7" s="35" t="inlineStr">
        <is>
          <t>All staff and admin accounts</t>
        </is>
      </c>
      <c r="D7" s="35" t="inlineStr">
        <is>
          <t>Credential Compromise via weak / reused passwords</t>
        </is>
      </c>
      <c r="E7" s="35" t="inlineStr">
        <is>
          <t>No documented password policy; no multi-factor authentication; password reuse common</t>
        </is>
      </c>
      <c r="F7" s="35" t="inlineStr">
        <is>
          <t>An attacker obtains a staff password through reuse, phishing, or brute force and gains unauthorised access to ShopNow systems, including the admin panel.</t>
        </is>
      </c>
      <c r="G7" s="35" t="inlineStr">
        <is>
          <t>The case study documents weak password practices as widespread. Without policy enforcement or MFA, compromise is almost certain to occur and would have catastrophic consequences if it reaches an admin account.</t>
        </is>
      </c>
      <c r="H7" s="35" t="inlineStr">
        <is>
          <t>None documented</t>
        </is>
      </c>
      <c r="I7" s="36" t="inlineStr">
        <is>
          <t>5 - Almost Certain</t>
        </is>
      </c>
      <c r="J7" s="36" t="inlineStr">
        <is>
          <t>5 - Catastrophic</t>
        </is>
      </c>
      <c r="K7" s="36">
        <f>IFERROR(IF(AND(I7&lt;&gt;"",J7&lt;&gt;""),VALUE(LEFT(I7,1))*VALUE(LEFT(J7,1)),""),"")</f>
        <v/>
      </c>
      <c r="L7" s="36">
        <f>IFERROR(IF(AND(I7&lt;&gt;"",J7&lt;&gt;""),INDEX('Risk Matrix'!$K$3:$O$7,MATCH(VALUE(LEFT(J7,1)),'Risk Matrix'!$J$3:$J$7,0),MATCH(VALUE(LEFT(I7,1)),'Risk Matrix'!$K$2:$O$2,0)),""),"")</f>
        <v/>
      </c>
      <c r="M7" s="35" t="inlineStr">
        <is>
          <t>Mitigate</t>
        </is>
      </c>
      <c r="N7" s="35" t="inlineStr">
        <is>
          <t>Enforce strong password policy (minimum 12 characters, complexity); enable MFA on all admin and email accounts; deploy a password manager for all staff</t>
        </is>
      </c>
      <c r="O7" s="35" t="inlineStr">
        <is>
          <t>IT / Owner</t>
        </is>
      </c>
      <c r="P7" s="37" t="n">
        <v>46173</v>
      </c>
      <c r="Q7" s="36" t="inlineStr">
        <is>
          <t>Open</t>
        </is>
      </c>
      <c r="R7" s="35" t="inlineStr">
        <is>
          <t>Password manager licences approved; MFA enrolment to begin week of 25 May</t>
        </is>
      </c>
      <c r="S7" s="37" t="n">
        <v>46167</v>
      </c>
      <c r="T7" s="36" t="inlineStr">
        <is>
          <t>1 - Rare</t>
        </is>
      </c>
      <c r="U7" s="36" t="inlineStr">
        <is>
          <t>4 - Major</t>
        </is>
      </c>
      <c r="V7" s="36">
        <f>IFERROR(IF(AND(T7&lt;&gt;"",U7&lt;&gt;""),VALUE(LEFT(T7,1))*VALUE(LEFT(U7,1)),""),"")</f>
        <v/>
      </c>
      <c r="W7" s="36">
        <f>IFERROR(IF(AND(T7&lt;&gt;"",U7&lt;&gt;""),INDEX('Risk Matrix'!$K$3:$O$7,MATCH(VALUE(LEFT(U7,1)),'Risk Matrix'!$J$3:$J$7,0),MATCH(VALUE(LEFT(T7,1)),'Risk Matrix'!$K$2:$O$2,0)),""),"")</f>
        <v/>
      </c>
      <c r="X7" s="37" t="n">
        <v>46265</v>
      </c>
      <c r="Y7" s="35" t="inlineStr">
        <is>
          <t>Treatment corrected from Avoid to Mitigate in v2: MFA and password policy reduce likelihood; the activity (staff accounts) continues. Owner sign-off required on residual risk acceptance.</t>
        </is>
      </c>
      <c r="Z7" t="inlineStr">
        <is>
          <t>A.5.17, A.8.2, A.8.5</t>
        </is>
      </c>
      <c r="AA7">
        <f>IF(W7="","",IF(OR(W7="L",W7="M"),"Yes","NO - escalate"))</f>
        <v/>
      </c>
      <c r="AB7">
        <f>IF(AND(Q7&lt;&gt;"Closed",P7&lt;&gt;"",P7&lt;TODAY()),"OVERDUE","")</f>
        <v/>
      </c>
    </row>
    <row r="8" ht="109.5" customHeight="1">
      <c r="A8" s="34" t="inlineStr">
        <is>
          <t>R-004</t>
        </is>
      </c>
      <c r="B8" s="35" t="inlineStr">
        <is>
          <t>A.8 — Technological Controls / A.17 — Business Continuity</t>
        </is>
      </c>
      <c r="C8" s="35" t="inlineStr">
        <is>
          <t>Workstations; Servers; Business Operations</t>
        </is>
      </c>
      <c r="D8" s="35" t="inlineStr">
        <is>
          <t>Ransomware / Malware Infection</t>
        </is>
      </c>
      <c r="E8" s="35" t="inlineStr">
        <is>
          <t>Basic AV only; no EDR; no network segmentation; backups not verified</t>
        </is>
      </c>
      <c r="F8" s="35" t="inlineStr">
        <is>
          <t>Ransomware encrypts ShopNow's business systems, halting operations and demanding payment, with potential permanent data loss if backups are inadequate.</t>
        </is>
      </c>
      <c r="G8" s="35" t="inlineStr">
        <is>
          <t>Small e-commerce businesses are heavily targeted by opportunistic ransomware operators. Without EDR and tested backups, recovery could take weeks and threaten business continuity.</t>
        </is>
      </c>
      <c r="H8" s="35" t="inlineStr">
        <is>
          <t>Basic anti-virus on workstations</t>
        </is>
      </c>
      <c r="I8" s="36" t="inlineStr">
        <is>
          <t>4 - Likely</t>
        </is>
      </c>
      <c r="J8" s="36" t="inlineStr">
        <is>
          <t>5 - Catastrophic</t>
        </is>
      </c>
      <c r="K8" s="36">
        <f>IFERROR(IF(AND(I8&lt;&gt;"",J8&lt;&gt;""),VALUE(LEFT(I8,1))*VALUE(LEFT(J8,1)),""),"")</f>
        <v/>
      </c>
      <c r="L8" s="36">
        <f>IFERROR(IF(AND(I8&lt;&gt;"",J8&lt;&gt;""),INDEX('Risk Matrix'!$K$3:$O$7,MATCH(VALUE(LEFT(J8,1)),'Risk Matrix'!$J$3:$J$7,0),MATCH(VALUE(LEFT(I8,1)),'Risk Matrix'!$K$2:$O$2,0)),""),"")</f>
        <v/>
      </c>
      <c r="M8" s="35" t="inlineStr">
        <is>
          <t>Mitigate</t>
        </is>
      </c>
      <c r="N8" s="35" t="inlineStr">
        <is>
          <t>Deploy endpoint detection and response (EDR); segment the network; verify offline backups weekly; document and test a recovery runbook</t>
        </is>
      </c>
      <c r="O8" s="35" t="inlineStr">
        <is>
          <t>IT / Owner</t>
        </is>
      </c>
      <c r="P8" s="37" t="n">
        <v>46265</v>
      </c>
      <c r="Q8" s="36" t="inlineStr">
        <is>
          <t>Open</t>
        </is>
      </c>
      <c r="R8" s="35" t="inlineStr">
        <is>
          <t>EDR vendor shortlist drafted; segmentation requires hosting provider conversation</t>
        </is>
      </c>
      <c r="S8" s="37" t="n">
        <v>46249</v>
      </c>
      <c r="T8" s="36" t="inlineStr">
        <is>
          <t>2 - Unlikely</t>
        </is>
      </c>
      <c r="U8" s="36" t="inlineStr">
        <is>
          <t>3 - Severe</t>
        </is>
      </c>
      <c r="V8" s="36">
        <f>IFERROR(IF(AND(T8&lt;&gt;"",U8&lt;&gt;""),VALUE(LEFT(T8,1))*VALUE(LEFT(U8,1)),""),"")</f>
        <v/>
      </c>
      <c r="W8" s="36">
        <f>IFERROR(IF(AND(T8&lt;&gt;"",U8&lt;&gt;""),INDEX('Risk Matrix'!$K$3:$O$7,MATCH(VALUE(LEFT(U8,1)),'Risk Matrix'!$J$3:$J$7,0),MATCH(VALUE(LEFT(T8,1)),'Risk Matrix'!$K$2:$O$2,0)),""),"")</f>
        <v/>
      </c>
      <c r="X8" s="37" t="n">
        <v>46356</v>
      </c>
      <c r="Y8" s="35" t="inlineStr">
        <is>
          <t>Closely linked to R-008 backup posture</t>
        </is>
      </c>
      <c r="Z8" t="inlineStr">
        <is>
          <t>A.8.7, A.8.13, A.8.14, A.5.24</t>
        </is>
      </c>
      <c r="AA8">
        <f>IF(W8="","",IF(OR(W8="L",W8="M"),"Yes","NO - escalate"))</f>
        <v/>
      </c>
      <c r="AB8">
        <f>IF(AND(Q8&lt;&gt;"Closed",P8&lt;&gt;"",P8&lt;TODAY()),"OVERDUE","")</f>
        <v/>
      </c>
    </row>
    <row r="9" ht="109.5" customHeight="1">
      <c r="A9" s="34" t="inlineStr">
        <is>
          <t>R-005</t>
        </is>
      </c>
      <c r="B9" s="35" t="inlineStr">
        <is>
          <t>A.8 — Technological Controls / A.10 — Cryptography</t>
        </is>
      </c>
      <c r="C9" s="35" t="inlineStr">
        <is>
          <t>Customer Database (PII, payment data)</t>
        </is>
      </c>
      <c r="D9" s="35" t="inlineStr">
        <is>
          <t>Data Breach / Exfiltration of Customer Data</t>
        </is>
      </c>
      <c r="E9" s="35" t="inlineStr">
        <is>
          <t>Limited encryption at rest; PII held locally; no DLP; partial visibility</t>
        </is>
      </c>
      <c r="F9" s="35" t="inlineStr">
        <is>
          <t>A breach exposes customer personal and payment information through SQL injection, credential compromise, or a third-party vendor incident, triggering regulatory and reputational consequences.</t>
        </is>
      </c>
      <c r="G9" s="35" t="inlineStr">
        <is>
          <t>Customer data is the most valuable asset ShopNow holds. Multiple attack pathways (R-001, R-002, R-003) could lead here. Mandatory notification laws apply in most jurisdictions.</t>
        </is>
      </c>
      <c r="H9" s="35" t="inlineStr">
        <is>
          <t>HTTPS/TLS in transit; payment processing via PCI-DSS compliant gateway</t>
        </is>
      </c>
      <c r="I9" s="36" t="inlineStr">
        <is>
          <t>4 - Likely</t>
        </is>
      </c>
      <c r="J9" s="36" t="inlineStr">
        <is>
          <t>5 - Catastrophic</t>
        </is>
      </c>
      <c r="K9" s="36">
        <f>IFERROR(IF(AND(I9&lt;&gt;"",J9&lt;&gt;""),VALUE(LEFT(I9,1))*VALUE(LEFT(J9,1)),""),"")</f>
        <v/>
      </c>
      <c r="L9" s="36">
        <f>IFERROR(IF(AND(I9&lt;&gt;"",J9&lt;&gt;""),INDEX('Risk Matrix'!$K$3:$O$7,MATCH(VALUE(LEFT(J9,1)),'Risk Matrix'!$J$3:$J$7,0),MATCH(VALUE(LEFT(I9,1)),'Risk Matrix'!$K$2:$O$2,0)),""),"")</f>
        <v/>
      </c>
      <c r="M9" s="35" t="inlineStr">
        <is>
          <t>Transfer</t>
        </is>
      </c>
      <c r="N9" s="35" t="inlineStr">
        <is>
          <t>Confirm payment gateway carries PCI-DSS Level 1 attestation; minimise PII stored locally; purchase cyber liability insurance; prepare a breach notification procedure aligned with applicable privacy laws</t>
        </is>
      </c>
      <c r="O9" s="35" t="inlineStr">
        <is>
          <t>Owner / Legal</t>
        </is>
      </c>
      <c r="P9" s="37" t="n">
        <v>46295</v>
      </c>
      <c r="Q9" s="36" t="inlineStr">
        <is>
          <t>Open</t>
        </is>
      </c>
      <c r="R9" s="35" t="inlineStr">
        <is>
          <t>Insurance broker engaged; PII minimisation review scheduled with developer</t>
        </is>
      </c>
      <c r="S9" s="37" t="n">
        <v>46280</v>
      </c>
      <c r="T9" s="36" t="inlineStr">
        <is>
          <t>2 - Unlikely</t>
        </is>
      </c>
      <c r="U9" s="36" t="inlineStr">
        <is>
          <t>4 - Major</t>
        </is>
      </c>
      <c r="V9" s="36">
        <f>IFERROR(IF(AND(T9&lt;&gt;"",U9&lt;&gt;""),VALUE(LEFT(T9,1))*VALUE(LEFT(U9,1)),""),"")</f>
        <v/>
      </c>
      <c r="W9" s="36">
        <f>IFERROR(IF(AND(T9&lt;&gt;"",U9&lt;&gt;""),INDEX('Risk Matrix'!$K$3:$O$7,MATCH(VALUE(LEFT(U9,1)),'Risk Matrix'!$J$3:$J$7,0),MATCH(VALUE(LEFT(T9,1)),'Risk Matrix'!$K$2:$O$2,0)),""),"")</f>
        <v/>
      </c>
      <c r="X9" s="37" t="n">
        <v>46387</v>
      </c>
      <c r="Y9" s="35" t="inlineStr">
        <is>
          <t>Dependent on closure of R-001, R-002, R-003</t>
        </is>
      </c>
      <c r="Z9" t="inlineStr">
        <is>
          <t>A.8.10, A.8.11, A.8.24, A.5.31</t>
        </is>
      </c>
      <c r="AA9">
        <f>IF(W9="","",IF(OR(W9="L",W9="M"),"Yes","NO - escalate"))</f>
        <v/>
      </c>
      <c r="AB9">
        <f>IF(AND(Q9&lt;&gt;"Closed",P9&lt;&gt;"",P9&lt;TODAY()),"OVERDUE","")</f>
        <v/>
      </c>
    </row>
    <row r="10" ht="109.5" customHeight="1">
      <c r="A10" s="34" t="inlineStr">
        <is>
          <t>R-006</t>
        </is>
      </c>
      <c r="B10" s="35" t="inlineStr">
        <is>
          <t>A.8 — Technological Controls</t>
        </is>
      </c>
      <c r="C10" s="35" t="inlineStr">
        <is>
          <t>Public Website; Hosting Infrastructure</t>
        </is>
      </c>
      <c r="D10" s="35" t="inlineStr">
        <is>
          <t>Distributed Denial of Service (DDoS)</t>
        </is>
      </c>
      <c r="E10" s="35" t="inlineStr">
        <is>
          <t>Standard hosting plan with no specific DDoS protection; no CDN; no rate limiting</t>
        </is>
      </c>
      <c r="F10" s="35" t="inlineStr">
        <is>
          <t>A DDoS attack overwhelms ShopNow's website, causing extended downtime, lost sales during the attack window, and possible customer trust impact.</t>
        </is>
      </c>
      <c r="G10" s="35" t="inlineStr">
        <is>
          <t>DDoS-for-hire services are inexpensive and trivially deployed. Even a short outage during a sales peak (e.g. Black Friday) would have direct revenue consequences.</t>
        </is>
      </c>
      <c r="H10" s="35" t="inlineStr">
        <is>
          <t>Standard hosting plan with no specific DDoS protection</t>
        </is>
      </c>
      <c r="I10" s="36" t="inlineStr">
        <is>
          <t>3 - Possible</t>
        </is>
      </c>
      <c r="J10" s="36" t="inlineStr">
        <is>
          <t>3 - Severe</t>
        </is>
      </c>
      <c r="K10" s="36">
        <f>IFERROR(IF(AND(I10&lt;&gt;"",J10&lt;&gt;""),VALUE(LEFT(I10,1))*VALUE(LEFT(J10,1)),""),"")</f>
        <v/>
      </c>
      <c r="L10" s="36">
        <f>IFERROR(IF(AND(I10&lt;&gt;"",J10&lt;&gt;""),INDEX('Risk Matrix'!$K$3:$O$7,MATCH(VALUE(LEFT(J10,1)),'Risk Matrix'!$J$3:$J$7,0),MATCH(VALUE(LEFT(I10,1)),'Risk Matrix'!$K$2:$O$2,0)),""),"")</f>
        <v/>
      </c>
      <c r="M10" s="35" t="inlineStr">
        <is>
          <t>Mitigate</t>
        </is>
      </c>
      <c r="N10" s="35" t="inlineStr">
        <is>
          <t>Move DNS and edge traffic behind a CDN with DDoS protection (e.g. Cloudflare); set rate-limiting rules; document an incident escalation path with the hosting provider</t>
        </is>
      </c>
      <c r="O10" s="35" t="inlineStr">
        <is>
          <t>IT</t>
        </is>
      </c>
      <c r="P10" s="37" t="n">
        <v>46234</v>
      </c>
      <c r="Q10" s="36" t="inlineStr">
        <is>
          <t>Open</t>
        </is>
      </c>
      <c r="R10" s="35" t="inlineStr">
        <is>
          <t>Cloudflare quote received; migration plan drafted</t>
        </is>
      </c>
      <c r="S10" s="37" t="n">
        <v>46223</v>
      </c>
      <c r="T10" s="36" t="inlineStr">
        <is>
          <t>1 - Rare</t>
        </is>
      </c>
      <c r="U10" s="36" t="inlineStr">
        <is>
          <t>2 - Serious</t>
        </is>
      </c>
      <c r="V10" s="36">
        <f>IFERROR(IF(AND(T10&lt;&gt;"",U10&lt;&gt;""),VALUE(LEFT(T10,1))*VALUE(LEFT(U10,1)),""),"")</f>
        <v/>
      </c>
      <c r="W10" s="36">
        <f>IFERROR(IF(AND(T10&lt;&gt;"",U10&lt;&gt;""),INDEX('Risk Matrix'!$K$3:$O$7,MATCH(VALUE(LEFT(U10,1)),'Risk Matrix'!$J$3:$J$7,0),MATCH(VALUE(LEFT(T10,1)),'Risk Matrix'!$K$2:$O$2,0)),""),"")</f>
        <v/>
      </c>
      <c r="X10" s="37" t="n">
        <v>46326</v>
      </c>
      <c r="Y10" s="35" t="inlineStr">
        <is>
          <t>Treatment corrected from Transfer to Mitigate in v2: a CDN reduces likelihood and impact; no financial consequence is contractually transferred. Free CDN tier may be sufficient initially.</t>
        </is>
      </c>
      <c r="Z10" t="inlineStr">
        <is>
          <t>A.8.14, A.8.20, A.5.19</t>
        </is>
      </c>
      <c r="AA10">
        <f>IF(W10="","",IF(OR(W10="L",W10="M"),"Yes","NO - escalate"))</f>
        <v/>
      </c>
      <c r="AB10">
        <f>IF(AND(Q10&lt;&gt;"Closed",P10&lt;&gt;"",P10&lt;TODAY()),"OVERDUE","")</f>
        <v/>
      </c>
    </row>
    <row r="11" ht="109.5" customHeight="1">
      <c r="A11" s="34" t="inlineStr">
        <is>
          <t>R-007</t>
        </is>
      </c>
      <c r="B11" s="35" t="inlineStr">
        <is>
          <t>A.8 — Technological Controls / A.12 — Operations Security</t>
        </is>
      </c>
      <c r="C11" s="35" t="inlineStr">
        <is>
          <t>Operating Systems; Browsers; Web Server Software</t>
        </is>
      </c>
      <c r="D11" s="35" t="inlineStr">
        <is>
          <t>Exploitation of Known Vulnerabilities (unpatched CVEs)</t>
        </is>
      </c>
      <c r="E11" s="35" t="inlineStr">
        <is>
          <t>Manual updates only; no patch policy; no asset inventory; long patch windows</t>
        </is>
      </c>
      <c r="F11" s="35" t="inlineStr">
        <is>
          <t>An attacker exploits a known unpatched vulnerability on ShopNow's systems, gaining a foothold that enables further attacks (lateral movement, data theft, ransomware).</t>
        </is>
      </c>
      <c r="G11" s="35" t="inlineStr">
        <is>
          <t>Automated scanners constantly probe internet-facing systems for known CVEs. The window between disclosure and exploitation is often hours, so manual patching cannot keep up.</t>
        </is>
      </c>
      <c r="H11" s="35" t="inlineStr">
        <is>
          <t>Manual updates by staff when prompted</t>
        </is>
      </c>
      <c r="I11" s="36" t="inlineStr">
        <is>
          <t>5 - Almost Certain</t>
        </is>
      </c>
      <c r="J11" s="36" t="inlineStr">
        <is>
          <t>3 - Severe</t>
        </is>
      </c>
      <c r="K11" s="36">
        <f>IFERROR(IF(AND(I11&lt;&gt;"",J11&lt;&gt;""),VALUE(LEFT(I11,1))*VALUE(LEFT(J11,1)),""),"")</f>
        <v/>
      </c>
      <c r="L11" s="36">
        <f>IFERROR(IF(AND(I11&lt;&gt;"",J11&lt;&gt;""),INDEX('Risk Matrix'!$K$3:$O$7,MATCH(VALUE(LEFT(J11,1)),'Risk Matrix'!$J$3:$J$7,0),MATCH(VALUE(LEFT(I11,1)),'Risk Matrix'!$K$2:$O$2,0)),""),"")</f>
        <v/>
      </c>
      <c r="M11" s="35" t="inlineStr">
        <is>
          <t>Mitigate</t>
        </is>
      </c>
      <c r="N11" s="35" t="inlineStr">
        <is>
          <t>Enable automated patching for OS and browsers; maintain an asset inventory; subscribe to vendor security advisories; patch critical CVEs within 14 days</t>
        </is>
      </c>
      <c r="O11" s="35" t="inlineStr">
        <is>
          <t>IT</t>
        </is>
      </c>
      <c r="P11" s="37" t="n">
        <v>46203</v>
      </c>
      <c r="Q11" s="36" t="inlineStr">
        <is>
          <t>In Progress</t>
        </is>
      </c>
      <c r="R11" s="35" t="inlineStr">
        <is>
          <t>Asset inventory underway; automated patching enabled on three workstations as pilot</t>
        </is>
      </c>
      <c r="S11" s="37" t="n">
        <v>46188</v>
      </c>
      <c r="T11" s="36" t="inlineStr">
        <is>
          <t>2 - Unlikely</t>
        </is>
      </c>
      <c r="U11" s="36" t="inlineStr">
        <is>
          <t>3 - Severe</t>
        </is>
      </c>
      <c r="V11" s="36">
        <f>IFERROR(IF(AND(T11&lt;&gt;"",U11&lt;&gt;""),VALUE(LEFT(T11,1))*VALUE(LEFT(U11,1)),""),"")</f>
        <v/>
      </c>
      <c r="W11" s="36">
        <f>IFERROR(IF(AND(T11&lt;&gt;"",U11&lt;&gt;""),INDEX('Risk Matrix'!$K$3:$O$7,MATCH(VALUE(LEFT(U11,1)),'Risk Matrix'!$J$3:$J$7,0),MATCH(VALUE(LEFT(T11,1)),'Risk Matrix'!$K$2:$O$2,0)),""),"")</f>
        <v/>
      </c>
      <c r="X11" s="37" t="n">
        <v>46295</v>
      </c>
      <c r="Y11" s="35" t="inlineStr">
        <is>
          <t>Quick win — low cost, high coverage</t>
        </is>
      </c>
      <c r="Z11" t="inlineStr">
        <is>
          <t>A.8.8, A.8.9, A.8.19</t>
        </is>
      </c>
      <c r="AA11">
        <f>IF(W11="","",IF(OR(W11="L",W11="M"),"Yes","NO - escalate"))</f>
        <v/>
      </c>
      <c r="AB11">
        <f>IF(AND(Q11&lt;&gt;"Closed",P11&lt;&gt;"",P11&lt;TODAY()),"OVERDUE","")</f>
        <v/>
      </c>
    </row>
    <row r="12" ht="109.5" customHeight="1">
      <c r="A12" s="34" t="inlineStr">
        <is>
          <t>R-008</t>
        </is>
      </c>
      <c r="B12" s="35" t="inlineStr">
        <is>
          <t>A.17 — Business Continuity / A.8 — Technological Controls</t>
        </is>
      </c>
      <c r="C12" s="35" t="inlineStr">
        <is>
          <t>All business and customer data</t>
        </is>
      </c>
      <c r="D12" s="35" t="inlineStr">
        <is>
          <t>Data Loss (ransomware, hardware failure, human error)</t>
        </is>
      </c>
      <c r="E12" s="35" t="inlineStr">
        <is>
          <t>Ad-hoc local backups; no documented schedule; no restoration testing; no offsite copy</t>
        </is>
      </c>
      <c r="F12" s="35" t="inlineStr">
        <is>
          <t>ShopNow loses business or customer data due to ransomware, hardware failure, or accidental deletion, with no reliable restoration path, threatening continued operations.</t>
        </is>
      </c>
      <c r="G12" s="35" t="inlineStr">
        <is>
          <t>Backups exist informally but have never been tested. Without 3-2-1 discipline and tested restores, the existence of backup files does not guarantee recovery.</t>
        </is>
      </c>
      <c r="H12" s="35" t="inlineStr">
        <is>
          <t>Ad-hoc local backups; no documented schedule</t>
        </is>
      </c>
      <c r="I12" s="36" t="inlineStr">
        <is>
          <t>3 - Possible</t>
        </is>
      </c>
      <c r="J12" s="36" t="inlineStr">
        <is>
          <t>5 - Catastrophic</t>
        </is>
      </c>
      <c r="K12" s="36">
        <f>IFERROR(IF(AND(I12&lt;&gt;"",J12&lt;&gt;""),VALUE(LEFT(I12,1))*VALUE(LEFT(J12,1)),""),"")</f>
        <v/>
      </c>
      <c r="L12" s="36">
        <f>IFERROR(IF(AND(I12&lt;&gt;"",J12&lt;&gt;""),INDEX('Risk Matrix'!$K$3:$O$7,MATCH(VALUE(LEFT(J12,1)),'Risk Matrix'!$J$3:$J$7,0),MATCH(VALUE(LEFT(I12,1)),'Risk Matrix'!$K$2:$O$2,0)),""),"")</f>
        <v/>
      </c>
      <c r="M12" s="35" t="inlineStr">
        <is>
          <t>Mitigate</t>
        </is>
      </c>
      <c r="N12" s="35" t="inlineStr">
        <is>
          <t>Implement 3-2-1 backup strategy (3 copies, 2 media, 1 offsite); automate daily backups; test restoration monthly; document recovery time and recovery point objectives</t>
        </is>
      </c>
      <c r="O12" s="35" t="inlineStr">
        <is>
          <t>IT / Owner</t>
        </is>
      </c>
      <c r="P12" s="37" t="n">
        <v>46218</v>
      </c>
      <c r="Q12" s="36" t="inlineStr">
        <is>
          <t>Open</t>
        </is>
      </c>
      <c r="R12" s="35" t="inlineStr">
        <is>
          <t>Cloud backup provider selected; first restoration test scheduled August</t>
        </is>
      </c>
      <c r="S12" s="37" t="n">
        <v>46208</v>
      </c>
      <c r="T12" s="36" t="inlineStr">
        <is>
          <t>2 - Unlikely</t>
        </is>
      </c>
      <c r="U12" s="36" t="inlineStr">
        <is>
          <t>2 - Serious</t>
        </is>
      </c>
      <c r="V12" s="36">
        <f>IFERROR(IF(AND(T12&lt;&gt;"",U12&lt;&gt;""),VALUE(LEFT(T12,1))*VALUE(LEFT(U12,1)),""),"")</f>
        <v/>
      </c>
      <c r="W12" s="36">
        <f>IFERROR(IF(AND(T12&lt;&gt;"",U12&lt;&gt;""),INDEX('Risk Matrix'!$K$3:$O$7,MATCH(VALUE(LEFT(U12,1)),'Risk Matrix'!$J$3:$J$7,0),MATCH(VALUE(LEFT(T12,1)),'Risk Matrix'!$K$2:$O$2,0)),""),"")</f>
        <v/>
      </c>
      <c r="X12" s="37" t="n">
        <v>46310</v>
      </c>
      <c r="Y12" s="35" t="inlineStr">
        <is>
          <t>Recovery enables resilience for R-004 ransomware</t>
        </is>
      </c>
      <c r="Z12" t="inlineStr">
        <is>
          <t>A.8.13, A.8.14, A.5.30</t>
        </is>
      </c>
      <c r="AA12">
        <f>IF(W12="","",IF(OR(W12="L",W12="M"),"Yes","NO - escalate"))</f>
        <v/>
      </c>
      <c r="AB12">
        <f>IF(AND(Q12&lt;&gt;"Closed",P12&lt;&gt;"",P12&lt;TODAY()),"OVERDUE","")</f>
        <v/>
      </c>
    </row>
    <row r="13">
      <c r="A13" s="34" t="inlineStr">
        <is>
          <t>R-009</t>
        </is>
      </c>
      <c r="B13" s="35" t="inlineStr">
        <is>
          <t>A.5 — Organisational Controls</t>
        </is>
      </c>
      <c r="C13" s="35" t="inlineStr">
        <is>
          <t>Payment Gateway; Hosting Provider; Key Suppliers</t>
        </is>
      </c>
      <c r="D13" s="35" t="inlineStr">
        <is>
          <t>Third-Party / Supplier Failure or Breach</t>
        </is>
      </c>
      <c r="E13" s="35" t="inlineStr">
        <is>
          <t>No supplier security assessment; no contractual security clauses; single payment gateway with no fallback</t>
        </is>
      </c>
      <c r="F13" s="35" t="inlineStr">
        <is>
          <t>A key supplier such as the payment gateway suffers a breach or outage, exposing ShopNow customer data or halting checkout, with ShopNow carrying the customer and regulatory impact.</t>
        </is>
      </c>
      <c r="G13" s="35" t="inlineStr">
        <is>
          <t>ShopNow depends on third parties for payment processing and hosting but has never assessed their security posture. The 2019 AMCA breach that exposed millions of Quest Diagnostics patients is the pattern: the vendor fails, the brand pays.</t>
        </is>
      </c>
      <c r="H13" s="35" t="inlineStr">
        <is>
          <t>Payment processing via PCI-DSS compliant gateway (attestation not verified)</t>
        </is>
      </c>
      <c r="I13" s="36" t="inlineStr">
        <is>
          <t>3 - Possible</t>
        </is>
      </c>
      <c r="J13" s="36" t="inlineStr">
        <is>
          <t>4 - Major</t>
        </is>
      </c>
      <c r="K13" s="36">
        <f>IFERROR(IF(AND(I13&lt;&gt;"",J13&lt;&gt;""),VALUE(LEFT(I13,1))*VALUE(LEFT(J13,1)),""),"")</f>
        <v/>
      </c>
      <c r="L13" s="36">
        <f>IFERROR(IF(AND(I13&lt;&gt;"",J13&lt;&gt;""),INDEX('Risk Matrix'!$K$3:$O$7,MATCH(VALUE(LEFT(J13,1)),'Risk Matrix'!$J$3:$J$7,0),MATCH(VALUE(LEFT(I13,1)),'Risk Matrix'!$K$2:$O$2,0)),""),"")</f>
        <v/>
      </c>
      <c r="M13" s="35" t="inlineStr">
        <is>
          <t>Mitigate</t>
        </is>
      </c>
      <c r="N13" s="35" t="inlineStr">
        <is>
          <t>Verify gateway PCI-DSS Level 1 attestation annually; add security clauses and breach-notification terms to supplier contracts; tier suppliers by data access; assess critical suppliers before renewal</t>
        </is>
      </c>
      <c r="O13" s="35" t="inlineStr">
        <is>
          <t>Owner / Legal</t>
        </is>
      </c>
      <c r="P13" s="37" t="n">
        <v>46371</v>
      </c>
      <c r="Q13" s="36" t="inlineStr">
        <is>
          <t>Open</t>
        </is>
      </c>
      <c r="R13" s="35" t="inlineStr">
        <is>
          <t>Supplier inventory started; attestation request drafted</t>
        </is>
      </c>
      <c r="S13" s="37" t="n">
        <v>46341</v>
      </c>
      <c r="T13" s="36" t="inlineStr">
        <is>
          <t>2 - Unlikely</t>
        </is>
      </c>
      <c r="U13" s="36" t="inlineStr">
        <is>
          <t>3 - Severe</t>
        </is>
      </c>
      <c r="V13" s="36">
        <f>IFERROR(IF(AND(T13&lt;&gt;"",U13&lt;&gt;""),VALUE(LEFT(T13,1))*VALUE(LEFT(U13,1)),""),"")</f>
        <v/>
      </c>
      <c r="W13" s="36">
        <f>IFERROR(IF(AND(T13&lt;&gt;"",U13&lt;&gt;""),INDEX('Risk Matrix'!$K$3:$O$7,MATCH(VALUE(LEFT(U13,1)),'Risk Matrix'!$J$3:$J$7,0),MATCH(VALUE(LEFT(T13,1)),'Risk Matrix'!$K$2:$O$2,0)),""),"")</f>
        <v/>
      </c>
      <c r="X13" s="37" t="n">
        <v>46446</v>
      </c>
      <c r="Y13" s="35" t="inlineStr">
        <is>
          <t>New in v2. Links to R-005: a supplier breach is one path to customer data exposure.</t>
        </is>
      </c>
      <c r="Z13" s="35" t="inlineStr">
        <is>
          <t>A.5.19, A.5.20, A.5.21, A.5.22</t>
        </is>
      </c>
      <c r="AA13" s="35">
        <f>IF(W13="","",IF(OR(W13="L",W13="M"),"Yes","NO - escalate"))</f>
        <v/>
      </c>
      <c r="AB13" s="35">
        <f>IF(AND(Q13&lt;&gt;"Closed",P13&lt;&gt;"",P13&lt;TODAY()),"OVERDUE","")</f>
        <v/>
      </c>
    </row>
    <row r="14">
      <c r="A14" s="34" t="inlineStr">
        <is>
          <t>R-010</t>
        </is>
      </c>
      <c r="B14" s="35" t="inlineStr">
        <is>
          <t>A.8 — Technological Controls</t>
        </is>
      </c>
      <c r="C14" s="35" t="inlineStr">
        <is>
          <t>Admin Panel; Privileged Accounts</t>
        </is>
      </c>
      <c r="D14" s="35" t="inlineStr">
        <is>
          <t>Privileged Access Misuse / Excessive Access</t>
        </is>
      </c>
      <c r="E14" s="35" t="inlineStr">
        <is>
          <t>No access reviews; shared admin credentials in use; leavers’ access not promptly revoked</t>
        </is>
      </c>
      <c r="F14" s="35" t="inlineStr">
        <is>
          <t>A staff member or ex-staff member uses excessive or stale privileged access to view, alter, or delete ShopNow data without detection.</t>
        </is>
      </c>
      <c r="G14" s="35" t="inlineStr">
        <is>
          <t>Privileged accounts are the highest-value target and the least governed at ShopNow. Without periodic access reviews and joiner-mover-leaver discipline, excessive access accumulates silently.</t>
        </is>
      </c>
      <c r="H14" s="35" t="inlineStr">
        <is>
          <t>Individual staff logins for day-to-day systems; admin access informal</t>
        </is>
      </c>
      <c r="I14" s="36" t="inlineStr">
        <is>
          <t>3 - Possible</t>
        </is>
      </c>
      <c r="J14" s="36" t="inlineStr">
        <is>
          <t>4 - Major</t>
        </is>
      </c>
      <c r="K14" s="36">
        <f>IFERROR(IF(AND(I14&lt;&gt;"",J14&lt;&gt;""),VALUE(LEFT(I14,1))*VALUE(LEFT(J14,1)),""),"")</f>
        <v/>
      </c>
      <c r="L14" s="36">
        <f>IFERROR(IF(AND(I14&lt;&gt;"",J14&lt;&gt;""),INDEX('Risk Matrix'!$K$3:$O$7,MATCH(VALUE(LEFT(J14,1)),'Risk Matrix'!$J$3:$J$7,0),MATCH(VALUE(LEFT(I14,1)),'Risk Matrix'!$K$2:$O$2,0)),""),"")</f>
        <v/>
      </c>
      <c r="M14" s="35" t="inlineStr">
        <is>
          <t>Mitigate</t>
        </is>
      </c>
      <c r="N14" s="35" t="inlineStr">
        <is>
          <t>Remove shared admin credentials; enforce least privilege; quarterly privileged access reviews; same-day access revocation for leavers; log and alert on admin actions</t>
        </is>
      </c>
      <c r="O14" s="35" t="inlineStr">
        <is>
          <t>IT / Owner</t>
        </is>
      </c>
      <c r="P14" s="37" t="n">
        <v>46356</v>
      </c>
      <c r="Q14" s="36" t="inlineStr">
        <is>
          <t>Open</t>
        </is>
      </c>
      <c r="R14" s="35" t="inlineStr">
        <is>
          <t>Privileged account inventory to be compiled</t>
        </is>
      </c>
      <c r="S14" s="37" t="n">
        <v>46327</v>
      </c>
      <c r="T14" s="36" t="inlineStr">
        <is>
          <t>2 - Unlikely</t>
        </is>
      </c>
      <c r="U14" s="36" t="inlineStr">
        <is>
          <t>3 - Severe</t>
        </is>
      </c>
      <c r="V14" s="36">
        <f>IFERROR(IF(AND(T14&lt;&gt;"",U14&lt;&gt;""),VALUE(LEFT(T14,1))*VALUE(LEFT(U14,1)),""),"")</f>
        <v/>
      </c>
      <c r="W14" s="36">
        <f>IFERROR(IF(AND(T14&lt;&gt;"",U14&lt;&gt;""),INDEX('Risk Matrix'!$K$3:$O$7,MATCH(VALUE(LEFT(U14,1)),'Risk Matrix'!$J$3:$J$7,0),MATCH(VALUE(LEFT(T14,1)),'Risk Matrix'!$K$2:$O$2,0)),""),"")</f>
        <v/>
      </c>
      <c r="X14" s="37" t="n">
        <v>46418</v>
      </c>
      <c r="Y14" s="35" t="inlineStr">
        <is>
          <t>New in v2. Supports closure of R-003 (credential risk) once MFA and access reviews are both in place.</t>
        </is>
      </c>
      <c r="Z14" s="35" t="inlineStr">
        <is>
          <t>A.5.15, A.8.2, A.8.3, A.8.15</t>
        </is>
      </c>
      <c r="AA14" s="35">
        <f>IF(W14="","",IF(OR(W14="L",W14="M"),"Yes","NO - escalate"))</f>
        <v/>
      </c>
      <c r="AB14" s="35">
        <f>IF(AND(Q14&lt;&gt;"Closed",P14&lt;&gt;"",P14&lt;TODAY()),"OVERDUE","")</f>
        <v/>
      </c>
    </row>
    <row r="15">
      <c r="A15" s="34" t="inlineStr">
        <is>
          <t>R-011</t>
        </is>
      </c>
      <c r="B15" s="35" t="inlineStr">
        <is>
          <t>A.5 — Organisational Controls</t>
        </is>
      </c>
      <c r="C15" s="35" t="inlineStr">
        <is>
          <t>Customer Personal Information; Business Reputation</t>
        </is>
      </c>
      <c r="D15" s="35" t="inlineStr">
        <is>
          <t>Privacy / Regulatory Non-Compliance (PIPEDA)</t>
        </is>
      </c>
      <c r="E15" s="35" t="inlineStr">
        <is>
          <t>No privacy policy review; no breach response procedure; staff unaware of breach reporting duties</t>
        </is>
      </c>
      <c r="F15" s="35" t="inlineStr">
        <is>
          <t>ShopNow fails to meet its privacy obligations for customer personal information, resulting in a regulatory complaint, mandatory breach reporting failures, fines, and loss of customer trust.</t>
        </is>
      </c>
      <c r="G15" s="35" t="inlineStr">
        <is>
          <t>Canadian private-sector privacy law (PIPEDA) requires safeguards, breach records, and reporting of breaches posing a real risk of significant harm. ShopNow currently has no documented breach procedure and no single owner for privacy.</t>
        </is>
      </c>
      <c r="H15" s="35" t="inlineStr">
        <is>
          <t>Privacy policy published on website (not reviewed since launch)</t>
        </is>
      </c>
      <c r="I15" s="36" t="inlineStr">
        <is>
          <t>3 - Possible</t>
        </is>
      </c>
      <c r="J15" s="36" t="inlineStr">
        <is>
          <t>3 - Severe</t>
        </is>
      </c>
      <c r="K15" s="36">
        <f>IFERROR(IF(AND(I15&lt;&gt;"",J15&lt;&gt;""),VALUE(LEFT(I15,1))*VALUE(LEFT(J15,1)),""),"")</f>
        <v/>
      </c>
      <c r="L15" s="36">
        <f>IFERROR(IF(AND(I15&lt;&gt;"",J15&lt;&gt;""),INDEX('Risk Matrix'!$K$3:$O$7,MATCH(VALUE(LEFT(J15,1)),'Risk Matrix'!$J$3:$J$7,0),MATCH(VALUE(LEFT(I15,1)),'Risk Matrix'!$K$2:$O$2,0)),""),"")</f>
        <v/>
      </c>
      <c r="M15" s="35" t="inlineStr">
        <is>
          <t>Mitigate</t>
        </is>
      </c>
      <c r="N15" s="35" t="inlineStr">
        <is>
          <t>Appoint a privacy lead; document a breach response and notification procedure; keep a breach record register; review the privacy policy annually; train staff on handling personal information</t>
        </is>
      </c>
      <c r="O15" s="35" t="inlineStr">
        <is>
          <t>Owner / Legal</t>
        </is>
      </c>
      <c r="P15" s="37" t="n">
        <v>46387</v>
      </c>
      <c r="Q15" s="36" t="inlineStr">
        <is>
          <t>Open</t>
        </is>
      </c>
      <c r="R15" s="35" t="inlineStr">
        <is>
          <t>Privacy lead to be nominated</t>
        </is>
      </c>
      <c r="S15" s="37" t="n">
        <v>46357</v>
      </c>
      <c r="T15" s="36" t="inlineStr">
        <is>
          <t>2 - Unlikely</t>
        </is>
      </c>
      <c r="U15" s="36" t="inlineStr">
        <is>
          <t>2 - Serious</t>
        </is>
      </c>
      <c r="V15" s="36">
        <f>IFERROR(IF(AND(T15&lt;&gt;"",U15&lt;&gt;""),VALUE(LEFT(T15,1))*VALUE(LEFT(U15,1)),""),"")</f>
        <v/>
      </c>
      <c r="W15" s="36">
        <f>IFERROR(IF(AND(T15&lt;&gt;"",U15&lt;&gt;""),INDEX('Risk Matrix'!$K$3:$O$7,MATCH(VALUE(LEFT(U15,1)),'Risk Matrix'!$J$3:$J$7,0),MATCH(VALUE(LEFT(T15,1)),'Risk Matrix'!$K$2:$O$2,0)),""),"")</f>
        <v/>
      </c>
      <c r="X15" s="37" t="n">
        <v>46477</v>
      </c>
      <c r="Y15" s="35" t="inlineStr">
        <is>
          <t>New in v2. Consequence risk of R-005: a breach without a procedure turns an incident into a compliance failure.</t>
        </is>
      </c>
      <c r="Z15" s="35" t="inlineStr">
        <is>
          <t>A.5.31, A.5.33, A.5.34, A.5.36</t>
        </is>
      </c>
      <c r="AA15" s="35">
        <f>IF(W15="","",IF(OR(W15="L",W15="M"),"Yes","NO - escalate"))</f>
        <v/>
      </c>
      <c r="AB15" s="35">
        <f>IF(AND(Q15&lt;&gt;"Closed",P15&lt;&gt;"",P15&lt;TODAY()),"OVERDUE","")</f>
        <v/>
      </c>
    </row>
  </sheetData>
  <mergeCells count="7">
    <mergeCell ref="A2:Y2"/>
    <mergeCell ref="M3:S3"/>
    <mergeCell ref="T3:W3"/>
    <mergeCell ref="I3:L3"/>
    <mergeCell ref="A1:Y1"/>
    <mergeCell ref="B3:H3"/>
    <mergeCell ref="X3:Y3"/>
  </mergeCells>
  <conditionalFormatting sqref="L5:L12">
    <cfRule type="cellIs" priority="2" operator="equal" dxfId="3">
      <formula>"L"</formula>
    </cfRule>
    <cfRule type="cellIs" priority="3" operator="equal" dxfId="2">
      <formula>"M"</formula>
    </cfRule>
    <cfRule type="cellIs" priority="4" operator="equal" dxfId="1">
      <formula>"H"</formula>
    </cfRule>
    <cfRule type="cellIs" priority="5" operator="equal" dxfId="0">
      <formula>"VH"</formula>
    </cfRule>
  </conditionalFormatting>
  <conditionalFormatting sqref="Q5:Q12">
    <cfRule type="cellIs" priority="10" operator="equal" dxfId="1">
      <formula>"Open"</formula>
    </cfRule>
    <cfRule type="cellIs" priority="11" operator="equal" dxfId="2">
      <formula>"In Progress"</formula>
    </cfRule>
    <cfRule type="cellIs" priority="12" operator="equal" dxfId="3">
      <formula>"Closed"</formula>
    </cfRule>
  </conditionalFormatting>
  <conditionalFormatting sqref="W5:W12">
    <cfRule type="cellIs" priority="6" operator="equal" dxfId="3">
      <formula>"L"</formula>
    </cfRule>
    <cfRule type="cellIs" priority="7" operator="equal" dxfId="2">
      <formula>"M"</formula>
    </cfRule>
    <cfRule type="cellIs" priority="8" operator="equal" dxfId="1">
      <formula>"H"</formula>
    </cfRule>
    <cfRule type="cellIs" priority="9" operator="equal" dxfId="0">
      <formula>"VH"</formula>
    </cfRule>
  </conditionalFormatting>
  <dataValidations count="4">
    <dataValidation sqref="I5:I50 T5:T50" showDropDown="0" showInputMessage="0" showErrorMessage="0" allowBlank="0" type="list">
      <formula1>"1 - Rare,2 - Unlikely,3 - Possible,4 - Likely,5 - Almost Certain"</formula1>
      <formula2>0</formula2>
    </dataValidation>
    <dataValidation sqref="J5:J50 U5:U50" showDropDown="0" showInputMessage="0" showErrorMessage="0" allowBlank="0" type="list">
      <formula1>"1 - Minor,2 - Serious,3 - Severe,4 - Major,5 - Catastrophic"</formula1>
      <formula2>0</formula2>
    </dataValidation>
    <dataValidation sqref="M5:M50" showDropDown="0" showInputMessage="0" showErrorMessage="0" allowBlank="0" type="list">
      <formula1>"Mitigate,Accept,Transfer,Avoid"</formula1>
      <formula2>0</formula2>
    </dataValidation>
    <dataValidation sqref="Q5:Q50" showDropDown="0" showInputMessage="0" showErrorMessage="0" allowBlank="0" type="list">
      <formula1>"Open,In Progress,Closed"</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2026-05-19T18:22:48Z</dcterms:created>
  <dcterms:modified xmlns:dcterms="http://purl.org/dc/terms/" xmlns:xsi="http://www.w3.org/2001/XMLSchema-instance" xsi:type="dcterms:W3CDTF">2026-10-23T16:28:49+00:00Z</dcterms:modified>
  <cp:lastModifiedBy>Julian - UTSG Dulu</cp:lastModifiedBy>
  <cp:revision>0</cp:revision>
</cp:coreProperties>
</file>